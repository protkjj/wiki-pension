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N:\개인\위키소프트\퇴직연금시스템개발\이기훈테스트\"/>
    </mc:Choice>
  </mc:AlternateContent>
  <xr:revisionPtr revIDLastSave="0" documentId="13_ncr:1_{39B9EA90-49B5-4883-AD9D-C5B080236552}" xr6:coauthVersionLast="47" xr6:coauthVersionMax="47" xr10:uidLastSave="{00000000-0000-0000-0000-000000000000}"/>
  <bookViews>
    <workbookView xWindow="-120" yWindow="-120" windowWidth="29040" windowHeight="15720" activeTab="2" xr2:uid="{B33A80CD-6004-496B-B989-6973A2F8C2A6}"/>
  </bookViews>
  <sheets>
    <sheet name="사외적립자산" sheetId="14" r:id="rId1"/>
    <sheet name="기타 장기" sheetId="12" r:id="rId2"/>
    <sheet name="명부확인용요약표" sheetId="13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4" l="1"/>
  <c r="I24" i="13"/>
  <c r="H24" i="13"/>
  <c r="F24" i="14"/>
  <c r="F19" i="14"/>
  <c r="F16" i="14"/>
  <c r="F13" i="14"/>
  <c r="F10" i="14"/>
  <c r="F30" i="13"/>
  <c r="F27" i="13"/>
  <c r="F24" i="13"/>
  <c r="F19" i="13"/>
  <c r="E14" i="13"/>
  <c r="F13" i="13"/>
  <c r="F9" i="13"/>
  <c r="D14" i="12"/>
  <c r="C14" i="12"/>
  <c r="E13" i="12"/>
  <c r="E12" i="12"/>
  <c r="E11" i="12"/>
  <c r="E10" i="12"/>
  <c r="E9" i="12"/>
  <c r="E8" i="12"/>
  <c r="F20" i="14" l="1"/>
  <c r="F25" i="14" s="1"/>
  <c r="F31" i="13"/>
  <c r="E14" i="12"/>
</calcChain>
</file>

<file path=xl/sharedStrings.xml><?xml version="1.0" encoding="utf-8"?>
<sst xmlns="http://schemas.openxmlformats.org/spreadsheetml/2006/main" count="193" uniqueCount="113">
  <si>
    <t>기타장기 포상제도 주요 사항</t>
    <phoneticPr fontId="1" type="noConversion"/>
  </si>
  <si>
    <t>근속년수</t>
  </si>
  <si>
    <t>지급액</t>
    <phoneticPr fontId="6" type="noConversion"/>
  </si>
  <si>
    <t>유급휴가</t>
  </si>
  <si>
    <t>비고 (상장, 감사패 증정시 제작금액)</t>
    <phoneticPr fontId="6" type="noConversion"/>
  </si>
  <si>
    <t>상승률(%)</t>
    <phoneticPr fontId="6" type="noConversion"/>
  </si>
  <si>
    <t>사용율(%)</t>
    <phoneticPr fontId="6" type="noConversion"/>
  </si>
  <si>
    <t>년 근속상</t>
  </si>
  <si>
    <t>지급방법</t>
    <phoneticPr fontId="1" type="noConversion"/>
  </si>
  <si>
    <t>직군명 :</t>
    <phoneticPr fontId="1" type="noConversion"/>
  </si>
  <si>
    <t>근속년수</t>
    <phoneticPr fontId="6" type="noConversion"/>
  </si>
  <si>
    <t>근속자 (인원수 합계)</t>
    <phoneticPr fontId="6" type="noConversion"/>
  </si>
  <si>
    <t>장기근속축하금 (인당)</t>
    <phoneticPr fontId="6" type="noConversion"/>
  </si>
  <si>
    <t>장기근속 축하금 (합계)</t>
    <phoneticPr fontId="6" type="noConversion"/>
  </si>
  <si>
    <t>년 근속상</t>
    <phoneticPr fontId="6" type="noConversion"/>
  </si>
  <si>
    <t>합계</t>
    <phoneticPr fontId="6" type="noConversion"/>
  </si>
  <si>
    <t>평가 년도</t>
    <phoneticPr fontId="6" type="noConversion"/>
  </si>
  <si>
    <t>전년도 지급액 합계 :        원</t>
    <phoneticPr fontId="1" type="noConversion"/>
  </si>
  <si>
    <t xml:space="preserve">    ⓑ. 포상제도 : 모든 직원 단일제도 적용 </t>
    <phoneticPr fontId="1" type="noConversion"/>
  </si>
  <si>
    <t xml:space="preserve">    ⓒ. 포상제도 : 직군별 다르게 적용할 경우</t>
    <phoneticPr fontId="1" type="noConversion"/>
  </si>
  <si>
    <t>항목</t>
    <phoneticPr fontId="6" type="noConversion"/>
  </si>
  <si>
    <t>평가
대상</t>
    <phoneticPr fontId="6" type="noConversion"/>
  </si>
  <si>
    <t>퇴직금 추계액
(원)</t>
    <phoneticPr fontId="6" type="noConversion"/>
  </si>
  <si>
    <t>퇴직부채 감소
(증가)액(원)</t>
    <phoneticPr fontId="6" type="noConversion"/>
  </si>
  <si>
    <t>퇴직부채 감소(증가)액 합계 (A-B-C)</t>
    <phoneticPr fontId="6" type="noConversion"/>
  </si>
  <si>
    <t>재직자수
(명)</t>
    <phoneticPr fontId="6" type="noConversion"/>
  </si>
  <si>
    <t>퇴직자수
(명)</t>
    <phoneticPr fontId="6" type="noConversion"/>
  </si>
  <si>
    <t xml:space="preserve">   중간정산자수</t>
    <phoneticPr fontId="6" type="noConversion"/>
  </si>
  <si>
    <t xml:space="preserve">      DC전환자수</t>
    <phoneticPr fontId="6" type="noConversion"/>
  </si>
  <si>
    <t>급여지급액
(A)</t>
    <phoneticPr fontId="6" type="noConversion"/>
  </si>
  <si>
    <t>관계사전입(전출)액
(B)</t>
    <phoneticPr fontId="6" type="noConversion"/>
  </si>
  <si>
    <t>사업결합(처분)액
(C)</t>
    <phoneticPr fontId="6" type="noConversion"/>
  </si>
  <si>
    <t>내용</t>
    <phoneticPr fontId="6" type="noConversion"/>
  </si>
  <si>
    <t>작성기준일</t>
  </si>
  <si>
    <t>임원</t>
    <phoneticPr fontId="6" type="noConversion"/>
  </si>
  <si>
    <t>직원</t>
    <phoneticPr fontId="6" type="noConversion"/>
  </si>
  <si>
    <t>계약직</t>
    <phoneticPr fontId="6" type="noConversion"/>
  </si>
  <si>
    <t>퇴직금 (a)</t>
    <phoneticPr fontId="6" type="noConversion"/>
  </si>
  <si>
    <t>중간정산금액 (b)</t>
    <phoneticPr fontId="6" type="noConversion"/>
  </si>
  <si>
    <t>DC 전환금 (c)</t>
    <phoneticPr fontId="6" type="noConversion"/>
  </si>
  <si>
    <t>소계 (a+b+c)</t>
    <phoneticPr fontId="6" type="noConversion"/>
  </si>
  <si>
    <t>관계사 전입액 (d)</t>
    <phoneticPr fontId="6" type="noConversion"/>
  </si>
  <si>
    <t>관계사 전출액 (e)</t>
    <phoneticPr fontId="6" type="noConversion"/>
  </si>
  <si>
    <t>소계 (d-e)</t>
    <phoneticPr fontId="6" type="noConversion"/>
  </si>
  <si>
    <t>사업결합액 (f)</t>
    <phoneticPr fontId="6" type="noConversion"/>
  </si>
  <si>
    <t>사업처분액 (g)</t>
    <phoneticPr fontId="6" type="noConversion"/>
  </si>
  <si>
    <t>소계 (f-g)</t>
    <phoneticPr fontId="6" type="noConversion"/>
  </si>
  <si>
    <t>-&gt; 회사가 관리하는 요약장표와 명부에 기재한 내용이 다른 경우 다수 발생하기에 추가 확인 필요</t>
    <phoneticPr fontId="6" type="noConversion"/>
  </si>
  <si>
    <t>사외적립자산 현황</t>
    <phoneticPr fontId="6" type="noConversion"/>
  </si>
  <si>
    <t>항  목</t>
    <phoneticPr fontId="6" type="noConversion"/>
  </si>
  <si>
    <t>내  용</t>
    <phoneticPr fontId="6" type="noConversion"/>
  </si>
  <si>
    <t>구  분</t>
    <phoneticPr fontId="6" type="noConversion"/>
  </si>
  <si>
    <t>사외적립
자산
변동내역
(원)</t>
    <phoneticPr fontId="6" type="noConversion"/>
  </si>
  <si>
    <t>기초 잔액 (A)</t>
    <phoneticPr fontId="6" type="noConversion"/>
  </si>
  <si>
    <t>입금(수탁)액(B)</t>
    <phoneticPr fontId="6" type="noConversion"/>
  </si>
  <si>
    <t>급여지급(인출)액
(C)</t>
    <phoneticPr fontId="6" type="noConversion"/>
  </si>
  <si>
    <t>퇴  직 (a)</t>
    <phoneticPr fontId="6" type="noConversion"/>
  </si>
  <si>
    <t>중간정산 (b)</t>
    <phoneticPr fontId="6" type="noConversion"/>
  </si>
  <si>
    <t>DC전환 (c)</t>
    <phoneticPr fontId="6" type="noConversion"/>
  </si>
  <si>
    <t>소 계 (a+b+c)</t>
    <phoneticPr fontId="6" type="noConversion"/>
  </si>
  <si>
    <t>관계사전입(전출)액
(D)</t>
    <phoneticPr fontId="6" type="noConversion"/>
  </si>
  <si>
    <t>관계사전입 (d)</t>
    <phoneticPr fontId="6" type="noConversion"/>
  </si>
  <si>
    <t>관계사전출 (e)</t>
    <phoneticPr fontId="6" type="noConversion"/>
  </si>
  <si>
    <t>소 계 (d-e)</t>
    <phoneticPr fontId="6" type="noConversion"/>
  </si>
  <si>
    <t>사업결합(처분)액
(E)</t>
    <phoneticPr fontId="6" type="noConversion"/>
  </si>
  <si>
    <t>사업결합 (f)</t>
    <phoneticPr fontId="6" type="noConversion"/>
  </si>
  <si>
    <t>사업처분 (g)</t>
    <phoneticPr fontId="6" type="noConversion"/>
  </si>
  <si>
    <t>소 계 (f-g)</t>
    <phoneticPr fontId="6" type="noConversion"/>
  </si>
  <si>
    <t>운용성과
(F)</t>
    <phoneticPr fontId="6" type="noConversion"/>
  </si>
  <si>
    <t>투자수익 (h)</t>
    <phoneticPr fontId="6" type="noConversion"/>
  </si>
  <si>
    <t>운용관리수수료(i)</t>
    <phoneticPr fontId="6" type="noConversion"/>
  </si>
  <si>
    <t>소 계 (h-i)</t>
    <phoneticPr fontId="6" type="noConversion"/>
  </si>
  <si>
    <r>
      <t>기말 잔액</t>
    </r>
    <r>
      <rPr>
        <b/>
        <sz val="11"/>
        <color indexed="10"/>
        <rFont val="맑은 고딕"/>
        <family val="3"/>
        <charset val="129"/>
      </rPr>
      <t>(산식)</t>
    </r>
    <phoneticPr fontId="6" type="noConversion"/>
  </si>
  <si>
    <t>(A+B-C+D+E+F)</t>
    <phoneticPr fontId="6" type="noConversion"/>
  </si>
  <si>
    <r>
      <t>기말 잔액</t>
    </r>
    <r>
      <rPr>
        <b/>
        <sz val="11"/>
        <color indexed="10"/>
        <rFont val="맑은 고딕"/>
        <family val="3"/>
        <charset val="129"/>
      </rPr>
      <t>(입력)</t>
    </r>
    <phoneticPr fontId="6" type="noConversion"/>
  </si>
  <si>
    <t>퇴직연금</t>
    <phoneticPr fontId="6" type="noConversion"/>
  </si>
  <si>
    <t>퇴직신탁</t>
    <phoneticPr fontId="6" type="noConversion"/>
  </si>
  <si>
    <t>퇴직보험</t>
    <phoneticPr fontId="6" type="noConversion"/>
  </si>
  <si>
    <t>소 계</t>
  </si>
  <si>
    <t>차 이</t>
    <phoneticPr fontId="6" type="noConversion"/>
  </si>
  <si>
    <t>(산식-입력)</t>
    <phoneticPr fontId="6" type="noConversion"/>
  </si>
  <si>
    <t xml:space="preserve">    국민연금전환금</t>
  </si>
  <si>
    <t>기말잔액</t>
    <phoneticPr fontId="6" type="noConversion"/>
  </si>
  <si>
    <t>공시방법</t>
    <phoneticPr fontId="6" type="noConversion"/>
  </si>
  <si>
    <t>②</t>
  </si>
  <si>
    <t xml:space="preserve">    ⓐ 기타장기 종업원급여 지급내역  -&gt; 보고서 작업시 필수 사항</t>
    <phoneticPr fontId="1" type="noConversion"/>
  </si>
  <si>
    <t>산출일(0000년00월00일) 기준 요약표</t>
    <phoneticPr fontId="6" type="noConversion"/>
  </si>
  <si>
    <t>비  고</t>
    <phoneticPr fontId="6" type="noConversion"/>
  </si>
  <si>
    <t>기초자료 및 명부 작성 기준일</t>
    <phoneticPr fontId="6" type="noConversion"/>
  </si>
  <si>
    <t>작성기준일 현재 재직자 수
"3. 재직자 명부"의 재직자 수와 일치</t>
    <phoneticPr fontId="6" type="noConversion"/>
  </si>
  <si>
    <t>기초부터 누계 퇴직자 수
"4. 퇴직자 명부"의 퇴직자 수와 일치</t>
    <phoneticPr fontId="6" type="noConversion"/>
  </si>
  <si>
    <t>기초부터 누계 중간정산자 수
"3. 재직자 명부"의 당기 중간정산자 수와 일치</t>
    <phoneticPr fontId="6" type="noConversion"/>
  </si>
  <si>
    <t>기초부터 누계 DC전환자 수
"4. DC전환자 명부"의 DC전환자 수와 일치</t>
    <phoneticPr fontId="6" type="noConversion"/>
  </si>
  <si>
    <t>작성기준일 현재 퇴직금 추계액
"3. 재직자 명부"의 당년도 퇴직금추계액과 일치</t>
    <phoneticPr fontId="6" type="noConversion"/>
  </si>
  <si>
    <t>기초부터 누계 퇴직금 지급액(퇴직급여충당금 감소 처리)
"4. 퇴직자 명부"의 퇴직금 합계와 일치</t>
    <phoneticPr fontId="6" type="noConversion"/>
  </si>
  <si>
    <t>기초부터 누계 중간정산금액(퇴직급여충당금 감소 처리)
"3. 재직자 명부"의 중간정산액 합계와 일치</t>
    <phoneticPr fontId="6" type="noConversion"/>
  </si>
  <si>
    <t>기초부터 누계 DC전환금액(퇴직급여충당금 감소 처리)
"4. DC전환자 명부"의 DC전환금 합계와 일치</t>
    <phoneticPr fontId="6" type="noConversion"/>
  </si>
  <si>
    <t>기초부터 누계 관계사 전입(전출)액
"5. 추가 명부"의 관계사 전입(전출)액 합계와 일치</t>
    <phoneticPr fontId="6" type="noConversion"/>
  </si>
  <si>
    <t>기초부터 누계 사업결합(처분)액
"5. 추가 명부"의 사업결합(처분) 금액 합계와 일치</t>
    <phoneticPr fontId="6" type="noConversion"/>
  </si>
  <si>
    <t>사외적립자산관련 자료 작성 기준일</t>
    <phoneticPr fontId="6" type="noConversion"/>
  </si>
  <si>
    <t>기초부터 누계 입금(수탁)액</t>
    <phoneticPr fontId="6" type="noConversion"/>
  </si>
  <si>
    <t>기초부터 누계 급여지급(인출)액</t>
    <phoneticPr fontId="6" type="noConversion"/>
  </si>
  <si>
    <t>기초부터 누계 관계사전입(전출)액</t>
    <phoneticPr fontId="6" type="noConversion"/>
  </si>
  <si>
    <t>기초부터 누계 사업결합(처분) 금액</t>
    <phoneticPr fontId="6" type="noConversion"/>
  </si>
  <si>
    <t>기초부터 누계 투자수익 및 운용관리수수료 금액</t>
    <phoneticPr fontId="6" type="noConversion"/>
  </si>
  <si>
    <t>작성기준일 현재 사외적립자산의 공정가치
(퇴직연금사업자에게 확인)</t>
    <phoneticPr fontId="6" type="noConversion"/>
  </si>
  <si>
    <t>차이가 발생하면 입력 오류, 입력값 확인 필요 !!!</t>
    <phoneticPr fontId="6" type="noConversion"/>
  </si>
  <si>
    <t>국민연금전환금이 있는 경우, 입력</t>
  </si>
  <si>
    <t>① 별도 공시   ② 사외적립자산에 포함    ③ 미공시 중 선택</t>
    <phoneticPr fontId="6" type="noConversion"/>
  </si>
  <si>
    <t>초록색 칸만 입력요</t>
    <phoneticPr fontId="1" type="noConversion"/>
  </si>
  <si>
    <t>명부확인용 요약표</t>
    <phoneticPr fontId="1" type="noConversion"/>
  </si>
  <si>
    <t>녹색부분만 입력</t>
    <phoneticPr fontId="1" type="noConversion"/>
  </si>
  <si>
    <t>등록부명에서 자동산출된 값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</si>
</sst>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 "/>
    <numFmt numFmtId="177" formatCode="###,###,###,###,###,###,###&quot; 원&quot;"/>
  </numFmts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  <scheme val="major"/>
    </font>
    <font>
      <sz val="8"/>
      <name val="맑은 고딕"/>
      <family val="3"/>
      <charset val="129"/>
    </font>
    <font>
      <b/>
      <sz val="13"/>
      <color indexed="8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theme="0" tint="-4.9989318521683403E-2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1"/>
      <color indexed="1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sz val="11"/>
      <color theme="4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theme="1"/>
      </right>
      <top style="medium">
        <color rgb="FFFF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rgb="FFFF0000"/>
      </top>
      <bottom style="thin">
        <color theme="1"/>
      </bottom>
      <diagonal/>
    </border>
    <border>
      <left style="medium">
        <color rgb="FFFF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FF0000"/>
      </left>
      <right style="thin">
        <color theme="1"/>
      </right>
      <top style="thin">
        <color theme="1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 style="medium">
        <color rgb="FFFF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rgb="FFFF0000"/>
      </left>
      <right style="medium">
        <color rgb="FFFF0000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medium">
        <color rgb="FFFF0000"/>
      </left>
      <right/>
      <top style="dotted">
        <color indexed="64"/>
      </top>
      <bottom style="dotted">
        <color indexed="64"/>
      </bottom>
      <diagonal/>
    </border>
    <border>
      <left style="medium">
        <color rgb="FFFF0000"/>
      </left>
      <right/>
      <top style="dotted">
        <color indexed="64"/>
      </top>
      <bottom style="thin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 style="thin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/>
      <bottom style="thin">
        <color indexed="64"/>
      </bottom>
      <diagonal/>
    </border>
    <border>
      <left style="thick">
        <color rgb="FFFF0000"/>
      </left>
      <right/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252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0" borderId="0" xfId="0" applyFont="1">
      <alignment vertical="center"/>
    </xf>
    <xf numFmtId="0" fontId="5" fillId="2" borderId="7" xfId="2" applyFont="1" applyFill="1" applyBorder="1" applyAlignment="1">
      <alignment horizontal="center" vertical="center"/>
    </xf>
    <xf numFmtId="0" fontId="5" fillId="2" borderId="13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41" fontId="5" fillId="3" borderId="12" xfId="1" applyFont="1" applyFill="1" applyBorder="1" applyAlignment="1">
      <alignment horizontal="center" vertical="center"/>
    </xf>
    <xf numFmtId="0" fontId="5" fillId="3" borderId="1" xfId="2" applyFont="1" applyFill="1" applyBorder="1">
      <alignment vertical="center"/>
    </xf>
    <xf numFmtId="0" fontId="5" fillId="3" borderId="12" xfId="2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left" vertical="center" indent="1"/>
    </xf>
    <xf numFmtId="41" fontId="5" fillId="3" borderId="1" xfId="1" applyFont="1" applyFill="1" applyBorder="1" applyAlignment="1">
      <alignment horizontal="center" vertical="center"/>
    </xf>
    <xf numFmtId="0" fontId="5" fillId="0" borderId="0" xfId="2" applyFont="1" applyAlignment="1">
      <alignment horizontal="right" vertical="center"/>
    </xf>
    <xf numFmtId="0" fontId="7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5" fillId="2" borderId="16" xfId="2" applyFont="1" applyFill="1" applyBorder="1" applyAlignment="1">
      <alignment horizontal="center" vertical="center"/>
    </xf>
    <xf numFmtId="0" fontId="5" fillId="2" borderId="17" xfId="2" applyFont="1" applyFill="1" applyBorder="1" applyAlignment="1">
      <alignment horizontal="center" vertical="center"/>
    </xf>
    <xf numFmtId="0" fontId="5" fillId="3" borderId="18" xfId="2" applyFont="1" applyFill="1" applyBorder="1" applyAlignment="1">
      <alignment horizontal="center" vertical="center"/>
    </xf>
    <xf numFmtId="0" fontId="5" fillId="3" borderId="19" xfId="2" applyFont="1" applyFill="1" applyBorder="1" applyAlignment="1">
      <alignment horizontal="right" vertical="center" indent="2"/>
    </xf>
    <xf numFmtId="41" fontId="5" fillId="3" borderId="19" xfId="1" applyFont="1" applyFill="1" applyBorder="1" applyAlignment="1">
      <alignment horizontal="right" vertical="center"/>
    </xf>
    <xf numFmtId="41" fontId="5" fillId="3" borderId="19" xfId="1" applyFont="1" applyFill="1" applyBorder="1" applyAlignment="1">
      <alignment horizontal="right" vertical="center" indent="1"/>
    </xf>
    <xf numFmtId="0" fontId="8" fillId="2" borderId="20" xfId="2" applyFont="1" applyFill="1" applyBorder="1" applyAlignment="1">
      <alignment horizontal="center" vertical="center"/>
    </xf>
    <xf numFmtId="41" fontId="8" fillId="2" borderId="21" xfId="1" applyFont="1" applyFill="1" applyBorder="1" applyAlignment="1">
      <alignment horizontal="right" vertical="center" indent="2"/>
    </xf>
    <xf numFmtId="41" fontId="8" fillId="2" borderId="21" xfId="1" applyFont="1" applyFill="1" applyBorder="1" applyAlignment="1">
      <alignment horizontal="right" vertical="center"/>
    </xf>
    <xf numFmtId="41" fontId="8" fillId="2" borderId="21" xfId="1" applyFont="1" applyFill="1" applyBorder="1" applyAlignment="1">
      <alignment horizontal="right" vertical="center" indent="1"/>
    </xf>
    <xf numFmtId="0" fontId="8" fillId="0" borderId="0" xfId="2" applyFont="1" applyAlignment="1">
      <alignment horizontal="center" vertical="center"/>
    </xf>
    <xf numFmtId="41" fontId="8" fillId="0" borderId="0" xfId="1" applyFont="1" applyFill="1" applyBorder="1" applyAlignment="1">
      <alignment horizontal="right" vertical="center" indent="2"/>
    </xf>
    <xf numFmtId="41" fontId="8" fillId="0" borderId="0" xfId="1" applyFont="1" applyFill="1" applyBorder="1" applyAlignment="1">
      <alignment horizontal="right" vertical="center"/>
    </xf>
    <xf numFmtId="41" fontId="8" fillId="0" borderId="0" xfId="1" applyFont="1" applyFill="1" applyBorder="1" applyAlignment="1">
      <alignment horizontal="right" vertical="center" indent="1"/>
    </xf>
    <xf numFmtId="0" fontId="7" fillId="0" borderId="0" xfId="2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>
      <alignment vertical="center"/>
    </xf>
    <xf numFmtId="0" fontId="11" fillId="6" borderId="35" xfId="0" applyFont="1" applyFill="1" applyBorder="1">
      <alignment vertical="center"/>
    </xf>
    <xf numFmtId="0" fontId="11" fillId="6" borderId="36" xfId="0" applyFont="1" applyFill="1" applyBorder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6" fontId="8" fillId="3" borderId="28" xfId="3" applyNumberFormat="1" applyFont="1" applyFill="1" applyBorder="1" applyAlignment="1">
      <alignment horizontal="right" vertical="center"/>
    </xf>
    <xf numFmtId="176" fontId="8" fillId="3" borderId="30" xfId="3" applyNumberFormat="1" applyFont="1" applyFill="1" applyBorder="1" applyAlignment="1">
      <alignment horizontal="right" vertical="center"/>
    </xf>
    <xf numFmtId="176" fontId="5" fillId="3" borderId="30" xfId="3" applyNumberFormat="1" applyFont="1" applyFill="1" applyBorder="1" applyAlignment="1">
      <alignment horizontal="right" vertical="center"/>
    </xf>
    <xf numFmtId="176" fontId="5" fillId="3" borderId="49" xfId="3" applyNumberFormat="1" applyFont="1" applyFill="1" applyBorder="1" applyAlignment="1">
      <alignment horizontal="right" vertical="center"/>
    </xf>
    <xf numFmtId="176" fontId="5" fillId="3" borderId="33" xfId="3" applyNumberFormat="1" applyFont="1" applyFill="1" applyBorder="1" applyAlignment="1">
      <alignment horizontal="right" vertical="center"/>
    </xf>
    <xf numFmtId="176" fontId="5" fillId="3" borderId="59" xfId="3" applyNumberFormat="1" applyFont="1" applyFill="1" applyBorder="1" applyAlignment="1">
      <alignment horizontal="right" vertical="center"/>
    </xf>
    <xf numFmtId="176" fontId="5" fillId="3" borderId="32" xfId="3" applyNumberFormat="1" applyFont="1" applyFill="1" applyBorder="1" applyAlignment="1">
      <alignment horizontal="right" vertical="center"/>
    </xf>
    <xf numFmtId="0" fontId="12" fillId="0" borderId="1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/>
    </xf>
    <xf numFmtId="176" fontId="5" fillId="3" borderId="55" xfId="3" applyNumberFormat="1" applyFont="1" applyFill="1" applyBorder="1" applyAlignment="1">
      <alignment horizontal="center" vertical="center"/>
    </xf>
    <xf numFmtId="0" fontId="14" fillId="0" borderId="0" xfId="2" applyFont="1" applyAlignment="1">
      <alignment horizontal="left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8" fillId="0" borderId="62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63" xfId="0" applyFont="1" applyBorder="1" applyAlignment="1">
      <alignment vertical="center" wrapText="1"/>
    </xf>
    <xf numFmtId="0" fontId="8" fillId="0" borderId="64" xfId="0" applyFont="1" applyBorder="1" applyAlignment="1">
      <alignment vertical="center" wrapText="1"/>
    </xf>
    <xf numFmtId="0" fontId="8" fillId="0" borderId="57" xfId="0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 wrapText="1"/>
    </xf>
    <xf numFmtId="0" fontId="8" fillId="0" borderId="6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10" fillId="0" borderId="5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1" fontId="8" fillId="5" borderId="13" xfId="3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41" fontId="5" fillId="0" borderId="7" xfId="3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41" fontId="8" fillId="5" borderId="7" xfId="3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5" borderId="13" xfId="0" quotePrefix="1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41" fontId="5" fillId="0" borderId="2" xfId="3" applyFont="1" applyFill="1" applyBorder="1" applyAlignment="1">
      <alignment horizontal="center" vertical="center"/>
    </xf>
    <xf numFmtId="41" fontId="5" fillId="0" borderId="47" xfId="3" applyFont="1" applyFill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 wrapText="1"/>
    </xf>
    <xf numFmtId="0" fontId="8" fillId="0" borderId="53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51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5" borderId="41" xfId="0" applyFont="1" applyFill="1" applyBorder="1" applyAlignment="1">
      <alignment horizontal="center" vertical="center"/>
    </xf>
    <xf numFmtId="0" fontId="8" fillId="5" borderId="42" xfId="0" applyFont="1" applyFill="1" applyBorder="1" applyAlignment="1">
      <alignment horizontal="center" vertical="center"/>
    </xf>
    <xf numFmtId="0" fontId="8" fillId="0" borderId="43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5" borderId="13" xfId="0" applyFont="1" applyFill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10" fillId="5" borderId="9" xfId="0" applyFont="1" applyFill="1" applyBorder="1" applyAlignment="1">
      <alignment horizontal="left" vertical="center"/>
    </xf>
    <xf numFmtId="0" fontId="8" fillId="4" borderId="24" xfId="0" applyFont="1" applyFill="1" applyBorder="1" applyAlignment="1">
      <alignment horizontal="center" vertical="center"/>
    </xf>
    <xf numFmtId="14" fontId="8" fillId="0" borderId="13" xfId="0" applyNumberFormat="1" applyFont="1" applyBorder="1" applyAlignment="1">
      <alignment horizontal="center" vertical="center"/>
    </xf>
    <xf numFmtId="14" fontId="8" fillId="0" borderId="14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2" borderId="10" xfId="2" applyFont="1" applyFill="1" applyBorder="1" applyAlignment="1">
      <alignment horizontal="center" vertical="center"/>
    </xf>
    <xf numFmtId="0" fontId="5" fillId="2" borderId="12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5" fillId="2" borderId="4" xfId="2" applyFont="1" applyFill="1" applyBorder="1" applyAlignment="1">
      <alignment horizontal="center" vertical="center"/>
    </xf>
    <xf numFmtId="0" fontId="15" fillId="0" borderId="0" xfId="2" applyFont="1" applyFill="1" applyAlignment="1">
      <alignment horizontal="left" vertical="center"/>
    </xf>
    <xf numFmtId="49" fontId="8" fillId="3" borderId="65" xfId="0" applyNumberFormat="1" applyFont="1" applyFill="1" applyBorder="1" applyAlignment="1">
      <alignment horizontal="center" vertical="center"/>
    </xf>
    <xf numFmtId="176" fontId="5" fillId="3" borderId="66" xfId="0" applyNumberFormat="1" applyFont="1" applyFill="1" applyBorder="1">
      <alignment vertical="center"/>
    </xf>
    <xf numFmtId="176" fontId="5" fillId="3" borderId="67" xfId="0" applyNumberFormat="1" applyFont="1" applyFill="1" applyBorder="1">
      <alignment vertical="center"/>
    </xf>
    <xf numFmtId="176" fontId="5" fillId="3" borderId="68" xfId="0" applyNumberFormat="1" applyFont="1" applyFill="1" applyBorder="1">
      <alignment vertical="center"/>
    </xf>
    <xf numFmtId="176" fontId="8" fillId="3" borderId="71" xfId="0" applyNumberFormat="1" applyFont="1" applyFill="1" applyBorder="1" applyAlignment="1">
      <alignment horizontal="right" vertical="center"/>
    </xf>
    <xf numFmtId="176" fontId="8" fillId="3" borderId="72" xfId="0" applyNumberFormat="1" applyFont="1" applyFill="1" applyBorder="1" applyAlignment="1">
      <alignment horizontal="right" vertical="center"/>
    </xf>
    <xf numFmtId="176" fontId="8" fillId="3" borderId="68" xfId="0" applyNumberFormat="1" applyFont="1" applyFill="1" applyBorder="1" applyAlignment="1">
      <alignment horizontal="right" vertical="center"/>
    </xf>
    <xf numFmtId="176" fontId="8" fillId="3" borderId="69" xfId="0" applyNumberFormat="1" applyFont="1" applyFill="1" applyBorder="1" applyAlignment="1">
      <alignment horizontal="right" vertical="center"/>
    </xf>
    <xf numFmtId="176" fontId="8" fillId="3" borderId="66" xfId="0" applyNumberFormat="1" applyFont="1" applyFill="1" applyBorder="1" applyAlignment="1">
      <alignment horizontal="right" vertical="center"/>
    </xf>
    <xf numFmtId="176" fontId="8" fillId="3" borderId="73" xfId="0" applyNumberFormat="1" applyFont="1" applyFill="1" applyBorder="1" applyAlignment="1">
      <alignment horizontal="right" vertical="center"/>
    </xf>
    <xf numFmtId="0" fontId="8" fillId="4" borderId="75" xfId="0" applyFont="1" applyFill="1" applyBorder="1" applyAlignment="1">
      <alignment horizontal="center" vertical="center" wrapText="1"/>
    </xf>
    <xf numFmtId="0" fontId="8" fillId="4" borderId="76" xfId="0" applyFont="1" applyFill="1" applyBorder="1" applyAlignment="1">
      <alignment horizontal="center" vertical="center" wrapText="1"/>
    </xf>
    <xf numFmtId="0" fontId="9" fillId="0" borderId="77" xfId="0" applyFont="1" applyBorder="1" applyAlignment="1">
      <alignment horizontal="center" vertical="center" wrapText="1"/>
    </xf>
    <xf numFmtId="0" fontId="9" fillId="0" borderId="78" xfId="0" applyFont="1" applyBorder="1" applyAlignment="1">
      <alignment horizontal="center" vertical="center" wrapText="1"/>
    </xf>
    <xf numFmtId="0" fontId="9" fillId="0" borderId="79" xfId="0" applyFont="1" applyBorder="1" applyAlignment="1">
      <alignment horizontal="center" vertical="center" wrapText="1"/>
    </xf>
    <xf numFmtId="41" fontId="9" fillId="0" borderId="80" xfId="0" applyNumberFormat="1" applyFont="1" applyBorder="1" applyAlignment="1">
      <alignment horizontal="center" vertical="center" wrapText="1"/>
    </xf>
    <xf numFmtId="0" fontId="5" fillId="0" borderId="78" xfId="0" applyFont="1" applyBorder="1" applyAlignment="1">
      <alignment horizontal="center" vertical="center" wrapText="1"/>
    </xf>
    <xf numFmtId="0" fontId="5" fillId="0" borderId="75" xfId="0" applyFont="1" applyBorder="1" applyAlignment="1">
      <alignment horizontal="center" vertical="center" wrapText="1"/>
    </xf>
    <xf numFmtId="0" fontId="5" fillId="0" borderId="81" xfId="0" applyFont="1" applyBorder="1" applyAlignment="1">
      <alignment horizontal="center" vertical="center" wrapText="1"/>
    </xf>
    <xf numFmtId="0" fontId="5" fillId="0" borderId="79" xfId="0" applyFont="1" applyBorder="1" applyAlignment="1">
      <alignment horizontal="center" vertical="center" wrapText="1"/>
    </xf>
    <xf numFmtId="0" fontId="5" fillId="0" borderId="77" xfId="0" applyFont="1" applyBorder="1" applyAlignment="1">
      <alignment horizontal="center" vertical="center" wrapText="1"/>
    </xf>
    <xf numFmtId="0" fontId="5" fillId="0" borderId="76" xfId="0" applyFont="1" applyBorder="1" applyAlignment="1">
      <alignment horizontal="center" vertical="center" wrapText="1"/>
    </xf>
    <xf numFmtId="0" fontId="5" fillId="0" borderId="82" xfId="0" applyFont="1" applyBorder="1" applyAlignment="1">
      <alignment vertical="center" wrapText="1"/>
    </xf>
    <xf numFmtId="14" fontId="5" fillId="0" borderId="2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176" fontId="8" fillId="0" borderId="34" xfId="3" applyNumberFormat="1" applyFont="1" applyFill="1" applyBorder="1" applyAlignment="1">
      <alignment horizontal="right" vertical="center"/>
    </xf>
    <xf numFmtId="176" fontId="14" fillId="0" borderId="34" xfId="3" applyNumberFormat="1" applyFont="1" applyFill="1" applyBorder="1" applyAlignment="1">
      <alignment horizontal="right" vertical="center"/>
    </xf>
    <xf numFmtId="0" fontId="8" fillId="4" borderId="83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5" fillId="0" borderId="85" xfId="0" applyFont="1" applyBorder="1" applyAlignment="1">
      <alignment horizontal="center" vertical="center" wrapText="1"/>
    </xf>
    <xf numFmtId="0" fontId="5" fillId="0" borderId="8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7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84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8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86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 wrapText="1"/>
    </xf>
    <xf numFmtId="0" fontId="15" fillId="0" borderId="88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 indent="1"/>
    </xf>
    <xf numFmtId="0" fontId="5" fillId="0" borderId="89" xfId="0" applyFont="1" applyBorder="1" applyAlignment="1">
      <alignment horizontal="center" vertical="center" wrapText="1"/>
    </xf>
    <xf numFmtId="0" fontId="5" fillId="0" borderId="90" xfId="0" applyFont="1" applyBorder="1" applyAlignment="1">
      <alignment horizontal="center" vertical="center" wrapText="1"/>
    </xf>
    <xf numFmtId="0" fontId="5" fillId="0" borderId="91" xfId="0" applyFont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left" vertical="center" wrapText="1" indent="1"/>
    </xf>
    <xf numFmtId="0" fontId="11" fillId="7" borderId="84" xfId="0" applyFont="1" applyFill="1" applyBorder="1">
      <alignment vertical="center"/>
    </xf>
    <xf numFmtId="0" fontId="5" fillId="0" borderId="13" xfId="0" applyFont="1" applyBorder="1" applyAlignment="1">
      <alignment vertical="center" wrapText="1"/>
    </xf>
    <xf numFmtId="0" fontId="5" fillId="0" borderId="84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7" xfId="0" applyFont="1" applyBorder="1" applyAlignment="1">
      <alignment vertical="center" wrapText="1"/>
    </xf>
    <xf numFmtId="0" fontId="5" fillId="0" borderId="54" xfId="0" applyFont="1" applyBorder="1" applyAlignment="1">
      <alignment vertical="center" wrapText="1"/>
    </xf>
    <xf numFmtId="0" fontId="5" fillId="0" borderId="88" xfId="0" applyFont="1" applyBorder="1" applyAlignment="1">
      <alignment vertical="center" wrapText="1"/>
    </xf>
    <xf numFmtId="0" fontId="8" fillId="4" borderId="92" xfId="0" applyFont="1" applyFill="1" applyBorder="1" applyAlignment="1">
      <alignment horizontal="center" vertical="center"/>
    </xf>
    <xf numFmtId="0" fontId="8" fillId="4" borderId="93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left" vertical="center" indent="1"/>
    </xf>
    <xf numFmtId="0" fontId="5" fillId="0" borderId="15" xfId="0" applyFont="1" applyBorder="1" applyAlignment="1">
      <alignment horizontal="left" vertical="center" indent="1"/>
    </xf>
    <xf numFmtId="0" fontId="5" fillId="0" borderId="84" xfId="0" applyFont="1" applyBorder="1" applyAlignment="1">
      <alignment horizontal="left" vertical="center" indent="1"/>
    </xf>
    <xf numFmtId="0" fontId="5" fillId="0" borderId="94" xfId="0" applyFont="1" applyBorder="1" applyAlignment="1">
      <alignment horizontal="left" vertical="center" indent="1"/>
    </xf>
    <xf numFmtId="0" fontId="5" fillId="0" borderId="15" xfId="0" applyFont="1" applyBorder="1" applyAlignment="1">
      <alignment horizontal="left" vertical="center" indent="1"/>
    </xf>
    <xf numFmtId="0" fontId="5" fillId="0" borderId="84" xfId="0" applyFont="1" applyBorder="1" applyAlignment="1">
      <alignment horizontal="left" vertical="center" indent="1"/>
    </xf>
    <xf numFmtId="0" fontId="5" fillId="0" borderId="94" xfId="0" applyFont="1" applyBorder="1" applyAlignment="1">
      <alignment horizontal="left" vertical="center" wrapText="1" indent="1"/>
    </xf>
    <xf numFmtId="0" fontId="5" fillId="0" borderId="15" xfId="0" applyFont="1" applyBorder="1" applyAlignment="1">
      <alignment horizontal="left" vertical="center" wrapText="1" indent="1"/>
    </xf>
    <xf numFmtId="0" fontId="5" fillId="0" borderId="84" xfId="0" applyFont="1" applyBorder="1" applyAlignment="1">
      <alignment horizontal="left" vertical="center" wrapText="1" indent="1"/>
    </xf>
    <xf numFmtId="0" fontId="5" fillId="0" borderId="95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 indent="1"/>
    </xf>
    <xf numFmtId="0" fontId="5" fillId="0" borderId="85" xfId="0" applyFont="1" applyBorder="1" applyAlignment="1">
      <alignment horizontal="left" vertical="center" wrapText="1" indent="1"/>
    </xf>
    <xf numFmtId="0" fontId="5" fillId="0" borderId="96" xfId="0" applyFont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5" fillId="0" borderId="86" xfId="0" applyFont="1" applyBorder="1" applyAlignment="1">
      <alignment horizontal="left" vertical="center" wrapText="1" indent="1"/>
    </xf>
    <xf numFmtId="0" fontId="5" fillId="0" borderId="97" xfId="0" applyFont="1" applyBorder="1" applyAlignment="1">
      <alignment horizontal="left" vertical="center" wrapText="1" indent="1"/>
    </xf>
    <xf numFmtId="0" fontId="5" fillId="0" borderId="8" xfId="0" applyFont="1" applyBorder="1" applyAlignment="1">
      <alignment horizontal="left" vertical="center" wrapText="1" indent="1"/>
    </xf>
    <xf numFmtId="0" fontId="5" fillId="0" borderId="87" xfId="0" applyFont="1" applyBorder="1" applyAlignment="1">
      <alignment horizontal="left" vertical="center" wrapText="1" indent="1"/>
    </xf>
    <xf numFmtId="0" fontId="5" fillId="0" borderId="94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94" xfId="0" applyFont="1" applyBorder="1" applyAlignment="1">
      <alignment horizontal="left" vertical="center" wrapText="1" indent="1"/>
    </xf>
    <xf numFmtId="0" fontId="5" fillId="0" borderId="8" xfId="0" applyFont="1" applyBorder="1" applyAlignment="1">
      <alignment horizontal="left" vertical="center" wrapText="1" indent="1"/>
    </xf>
    <xf numFmtId="0" fontId="5" fillId="0" borderId="87" xfId="0" applyFont="1" applyBorder="1" applyAlignment="1">
      <alignment horizontal="left" vertical="center" wrapText="1" indent="1"/>
    </xf>
    <xf numFmtId="0" fontId="5" fillId="0" borderId="94" xfId="0" applyFont="1" applyBorder="1">
      <alignment vertical="center"/>
    </xf>
    <xf numFmtId="0" fontId="5" fillId="0" borderId="15" xfId="0" applyFont="1" applyBorder="1">
      <alignment vertical="center"/>
    </xf>
    <xf numFmtId="0" fontId="5" fillId="0" borderId="84" xfId="0" applyFont="1" applyBorder="1">
      <alignment vertical="center"/>
    </xf>
    <xf numFmtId="0" fontId="14" fillId="0" borderId="94" xfId="0" applyFont="1" applyBorder="1" applyAlignment="1">
      <alignment horizontal="left" vertical="center" indent="1"/>
    </xf>
    <xf numFmtId="0" fontId="14" fillId="0" borderId="15" xfId="0" applyFont="1" applyBorder="1" applyAlignment="1">
      <alignment horizontal="left" vertical="center" indent="1"/>
    </xf>
    <xf numFmtId="0" fontId="14" fillId="0" borderId="84" xfId="0" applyFont="1" applyBorder="1" applyAlignment="1">
      <alignment horizontal="left" vertical="center" indent="1"/>
    </xf>
    <xf numFmtId="0" fontId="5" fillId="0" borderId="9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86" xfId="0" applyFont="1" applyBorder="1" applyAlignment="1">
      <alignment horizontal="left" vertical="center" indent="1"/>
    </xf>
    <xf numFmtId="0" fontId="5" fillId="0" borderId="98" xfId="0" applyFont="1" applyBorder="1" applyAlignment="1">
      <alignment horizontal="left" vertical="center" indent="1"/>
    </xf>
    <xf numFmtId="0" fontId="5" fillId="0" borderId="56" xfId="0" applyFont="1" applyBorder="1" applyAlignment="1">
      <alignment horizontal="left" vertical="center" indent="1"/>
    </xf>
    <xf numFmtId="0" fontId="5" fillId="0" borderId="88" xfId="0" applyFont="1" applyBorder="1" applyAlignment="1">
      <alignment horizontal="left" vertical="center" indent="1"/>
    </xf>
    <xf numFmtId="0" fontId="16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176" fontId="8" fillId="0" borderId="66" xfId="0" applyNumberFormat="1" applyFont="1" applyFill="1" applyBorder="1">
      <alignment vertical="center"/>
    </xf>
    <xf numFmtId="176" fontId="8" fillId="0" borderId="69" xfId="0" applyNumberFormat="1" applyFont="1" applyFill="1" applyBorder="1">
      <alignment vertical="center"/>
    </xf>
    <xf numFmtId="176" fontId="8" fillId="0" borderId="70" xfId="0" applyNumberFormat="1" applyFont="1" applyFill="1" applyBorder="1">
      <alignment vertical="center"/>
    </xf>
    <xf numFmtId="176" fontId="8" fillId="0" borderId="69" xfId="0" applyNumberFormat="1" applyFont="1" applyFill="1" applyBorder="1" applyAlignment="1">
      <alignment horizontal="right" vertical="center"/>
    </xf>
    <xf numFmtId="176" fontId="8" fillId="0" borderId="74" xfId="0" applyNumberFormat="1" applyFont="1" applyFill="1" applyBorder="1" applyAlignment="1">
      <alignment horizontal="right" vertical="center"/>
    </xf>
    <xf numFmtId="0" fontId="17" fillId="0" borderId="0" xfId="0" quotePrefix="1" applyFont="1">
      <alignment vertical="center"/>
    </xf>
  </cellXfs>
  <cellStyles count="4">
    <cellStyle name="쉼표 [0]" xfId="1" builtinId="6"/>
    <cellStyle name="쉼표 [0] 4" xfId="3" xr:uid="{ED43B8F0-426F-4100-A12D-8531D758A245}"/>
    <cellStyle name="표준" xfId="0" builtinId="0"/>
    <cellStyle name="표준 3" xfId="2" xr:uid="{CC185CAE-2884-468C-95BA-167C58E62B51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\Desktop\YD\&#48372;&#54744;&#44228;&#47532;&#51204;&#50629;&#49324;\&#48512;&#52292;&#54217;&#44032;\&#44228;&#47532;&#54217;&#44032;_&#49328;&#52636;&#50577;&#49885;\2_data\&#45380;&#50900;&#51068;_&#54924;&#49324;&#47749;_&#54217;&#44032;&#45380;&#50900;_&#54869;&#51221;&#44553;&#50668;&#52292;&#47924;&#54217;&#44032;_&#51089;&#49457;&#50836;&#52397;&#51088;&#47308;_&#44592;&#53440;&#51109;&#44592;_&#54252;&#54632;.xls" TargetMode="External"/><Relationship Id="rId1" Type="http://schemas.openxmlformats.org/officeDocument/2006/relationships/externalLinkPath" Target="file:///C:\Users\pc\Desktop\YD\&#48372;&#54744;&#44228;&#47532;&#51204;&#50629;&#49324;\&#48512;&#52292;&#54217;&#44032;\&#44228;&#47532;&#54217;&#44032;_&#49328;&#52636;&#50577;&#49885;\2_data\&#45380;&#50900;&#51068;_&#54924;&#49324;&#47749;_&#54217;&#44032;&#45380;&#50900;_&#54869;&#51221;&#44553;&#50668;&#52292;&#47924;&#54217;&#44032;_&#51089;&#49457;&#50836;&#52397;&#51088;&#47308;_&#44592;&#53440;&#51109;&#44592;_&#54252;&#54632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N:\&#44060;&#51064;\&#50948;&#53412;&#49548;&#54532;&#53944;\&#53748;&#51649;&#50672;&#44552;&#49884;&#49828;&#53596;&#44060;&#48156;\&#51060;&#44592;&#54984;&#53580;&#49828;&#53944;\&#47749;&#48512;&#53580;&#49828;&#53944;\260428_&#51064;&#55141;&#49328;&#50629;_2512_&#54869;&#51221;&#44553;&#50668;&#52292;&#47924;&#54217;&#44032;_&#51089;&#49457;&#50836;&#52397;&#51088;&#47308;_&#44592;&#53440;&#51109;&#44592;_&#51228;&#50808;.xls" TargetMode="External"/><Relationship Id="rId1" Type="http://schemas.openxmlformats.org/officeDocument/2006/relationships/externalLinkPath" Target="&#47749;&#48512;&#53580;&#49828;&#53944;/260428_&#51064;&#55141;&#49328;&#50629;_2512_&#54869;&#51221;&#44553;&#50668;&#52292;&#47924;&#54217;&#44032;_&#51089;&#49457;&#50836;&#52397;&#51088;&#47308;_&#44592;&#53440;&#51109;&#44592;_&#51228;&#5080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edback_send"/>
      <sheetName val="1. 명부 작성방법"/>
      <sheetName val="2. 기초자료_퇴직급여 "/>
      <sheetName val="3. 기초자료_기타장기종업원급여"/>
      <sheetName val="(1-3) 기초자료_기타장기종업원급여"/>
      <sheetName val="4. 재직자 명부"/>
      <sheetName val="5. 기타장기 재직자 명부"/>
      <sheetName val="6. 퇴직자 및 DC전환자 명부"/>
      <sheetName val="7. 추가 명부"/>
      <sheetName val="8. 첨부자료 안내"/>
      <sheetName val="9. 300인이상 기업만 작성_3년간_퇴직자명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G1" t="str">
            <v>당년도
퇴직금추계액</v>
          </cell>
          <cell r="J1" t="str">
            <v>중간정산기준일
yyyymmdd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edback_send"/>
      <sheetName val="1. 명부 작성방법"/>
      <sheetName val="2. 기초자료_퇴직급여 "/>
      <sheetName val="(1-3) 기초자료_기타장기종업원급여"/>
      <sheetName val="3. 재직자 명부"/>
      <sheetName val="4. 퇴직자 및 DC전환자 명부"/>
      <sheetName val="5. 추가 명부"/>
      <sheetName val="6.첨부자료 안내"/>
      <sheetName val="7. 300인 이상 기업만 작성_3년간_퇴직자명부"/>
    </sheetNames>
    <sheetDataSet>
      <sheetData sheetId="0"/>
      <sheetData sheetId="1"/>
      <sheetData sheetId="2"/>
      <sheetData sheetId="3"/>
      <sheetData sheetId="4">
        <row r="1">
          <cell r="G1" t="str">
            <v>당년도
퇴직금추계액</v>
          </cell>
          <cell r="H1" t="str">
            <v>차년도 퇴직금추계액
(임원, 정년초과자, 계약직은 반드시 입력)</v>
          </cell>
        </row>
        <row r="2">
          <cell r="G2">
            <v>112575000</v>
          </cell>
        </row>
        <row r="3">
          <cell r="G3">
            <v>98256250</v>
          </cell>
        </row>
        <row r="4">
          <cell r="G4">
            <v>77768646</v>
          </cell>
        </row>
        <row r="5">
          <cell r="G5">
            <v>55695000</v>
          </cell>
        </row>
        <row r="6">
          <cell r="G6">
            <v>63122215</v>
          </cell>
        </row>
        <row r="7">
          <cell r="G7">
            <v>135187500</v>
          </cell>
        </row>
        <row r="8">
          <cell r="G8">
            <v>357118050</v>
          </cell>
          <cell r="H8">
            <v>420000000</v>
          </cell>
        </row>
        <row r="9">
          <cell r="G9">
            <v>39864993</v>
          </cell>
        </row>
        <row r="10">
          <cell r="G10">
            <v>28045134</v>
          </cell>
        </row>
        <row r="11">
          <cell r="G11">
            <v>23340625</v>
          </cell>
        </row>
        <row r="12">
          <cell r="G12">
            <v>28109375</v>
          </cell>
        </row>
        <row r="13">
          <cell r="G13">
            <v>43680553</v>
          </cell>
        </row>
        <row r="14">
          <cell r="G14">
            <v>21996525</v>
          </cell>
        </row>
        <row r="15">
          <cell r="G15">
            <v>20896454</v>
          </cell>
        </row>
        <row r="16">
          <cell r="G16">
            <v>22068399</v>
          </cell>
        </row>
        <row r="17">
          <cell r="G17">
            <v>22754857</v>
          </cell>
          <cell r="H17">
            <v>35486111</v>
          </cell>
        </row>
        <row r="18">
          <cell r="G18">
            <v>20993887</v>
          </cell>
        </row>
        <row r="19">
          <cell r="G19">
            <v>16118054</v>
          </cell>
        </row>
        <row r="20">
          <cell r="G20">
            <v>8615316</v>
          </cell>
        </row>
        <row r="21">
          <cell r="G21">
            <v>17230034</v>
          </cell>
        </row>
        <row r="22">
          <cell r="G22">
            <v>13755621</v>
          </cell>
        </row>
        <row r="23">
          <cell r="G23">
            <v>9705206</v>
          </cell>
        </row>
        <row r="24">
          <cell r="G24">
            <v>6618120</v>
          </cell>
        </row>
        <row r="25">
          <cell r="G25">
            <v>6304620</v>
          </cell>
        </row>
        <row r="26">
          <cell r="G26">
            <v>7434164</v>
          </cell>
        </row>
        <row r="27">
          <cell r="G27">
            <v>19031250</v>
          </cell>
          <cell r="H27">
            <v>40000000</v>
          </cell>
        </row>
        <row r="28">
          <cell r="G28">
            <v>8589583</v>
          </cell>
        </row>
        <row r="29">
          <cell r="G29">
            <v>4222033</v>
          </cell>
        </row>
        <row r="30">
          <cell r="G30">
            <v>5040971</v>
          </cell>
        </row>
        <row r="31">
          <cell r="G31">
            <v>3911330</v>
          </cell>
        </row>
        <row r="32">
          <cell r="G32">
            <v>6322995</v>
          </cell>
        </row>
        <row r="33">
          <cell r="G33">
            <v>3985348</v>
          </cell>
        </row>
        <row r="34">
          <cell r="G34">
            <v>5122916</v>
          </cell>
        </row>
        <row r="35">
          <cell r="G35">
            <v>3254167</v>
          </cell>
        </row>
        <row r="36">
          <cell r="G36">
            <v>5364665</v>
          </cell>
        </row>
        <row r="37">
          <cell r="G37">
            <v>3473784</v>
          </cell>
        </row>
        <row r="38">
          <cell r="G38">
            <v>4945721</v>
          </cell>
        </row>
        <row r="39">
          <cell r="G39">
            <v>4912149</v>
          </cell>
        </row>
        <row r="40">
          <cell r="G40">
            <v>5049489</v>
          </cell>
        </row>
        <row r="41">
          <cell r="G41">
            <v>3257124</v>
          </cell>
        </row>
        <row r="42">
          <cell r="G42">
            <v>1963444</v>
          </cell>
        </row>
        <row r="43">
          <cell r="G43">
            <v>1993500</v>
          </cell>
        </row>
        <row r="44">
          <cell r="G44">
            <v>1822222</v>
          </cell>
        </row>
        <row r="45">
          <cell r="G45">
            <v>1769444</v>
          </cell>
        </row>
        <row r="46">
          <cell r="G46">
            <v>1146278</v>
          </cell>
        </row>
        <row r="47">
          <cell r="G47">
            <v>1538952</v>
          </cell>
        </row>
        <row r="48">
          <cell r="G48">
            <v>1328939</v>
          </cell>
        </row>
        <row r="49">
          <cell r="G49">
            <v>945555</v>
          </cell>
        </row>
        <row r="50">
          <cell r="G50">
            <v>524590</v>
          </cell>
        </row>
        <row r="51">
          <cell r="G51">
            <v>326851</v>
          </cell>
        </row>
        <row r="52">
          <cell r="G52">
            <v>763</v>
          </cell>
        </row>
        <row r="53">
          <cell r="G53">
            <v>763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C361F-B290-4E96-9153-2EB48DD175EF}">
  <dimension ref="A1:I28"/>
  <sheetViews>
    <sheetView workbookViewId="0">
      <selection activeCell="G20" sqref="G20"/>
    </sheetView>
  </sheetViews>
  <sheetFormatPr defaultRowHeight="16.5" x14ac:dyDescent="0.3"/>
  <cols>
    <col min="2" max="4" width="15.25" customWidth="1"/>
    <col min="5" max="5" width="18.125" customWidth="1"/>
    <col min="6" max="6" width="28.875" customWidth="1"/>
    <col min="7" max="7" width="37" customWidth="1"/>
  </cols>
  <sheetData>
    <row r="1" spans="1:9" ht="26.25" x14ac:dyDescent="0.3">
      <c r="A1" s="244" t="s">
        <v>48</v>
      </c>
    </row>
    <row r="2" spans="1:9" ht="21.75" customHeight="1" thickBot="1" x14ac:dyDescent="0.35">
      <c r="F2" s="245" t="s">
        <v>109</v>
      </c>
    </row>
    <row r="3" spans="1:9" ht="21.75" customHeight="1" x14ac:dyDescent="0.3">
      <c r="B3" s="92" t="s">
        <v>49</v>
      </c>
      <c r="C3" s="93"/>
      <c r="D3" s="96" t="s">
        <v>50</v>
      </c>
      <c r="E3" s="97"/>
      <c r="F3" s="97"/>
      <c r="G3" s="207" t="s">
        <v>87</v>
      </c>
      <c r="H3" s="207"/>
      <c r="I3" s="208"/>
    </row>
    <row r="4" spans="1:9" ht="21.75" customHeight="1" thickBot="1" x14ac:dyDescent="0.35">
      <c r="B4" s="94"/>
      <c r="C4" s="95"/>
      <c r="D4" s="175" t="s">
        <v>51</v>
      </c>
      <c r="E4" s="176"/>
      <c r="F4" s="177"/>
      <c r="G4" s="209" t="s">
        <v>99</v>
      </c>
      <c r="H4" s="210"/>
      <c r="I4" s="211"/>
    </row>
    <row r="5" spans="1:9" ht="21.75" customHeight="1" x14ac:dyDescent="0.3">
      <c r="B5" s="98" t="s">
        <v>52</v>
      </c>
      <c r="C5" s="31" t="s">
        <v>53</v>
      </c>
      <c r="D5" s="101"/>
      <c r="E5" s="102"/>
      <c r="F5" s="38"/>
      <c r="G5" s="212" t="str">
        <f>LEFT(F4,4)&amp;"년 기초 잔액"</f>
        <v>년 기초 잔액</v>
      </c>
      <c r="H5" s="213"/>
      <c r="I5" s="214"/>
    </row>
    <row r="6" spans="1:9" ht="21.75" customHeight="1" x14ac:dyDescent="0.3">
      <c r="B6" s="99"/>
      <c r="C6" s="30" t="s">
        <v>54</v>
      </c>
      <c r="D6" s="103"/>
      <c r="E6" s="80"/>
      <c r="F6" s="39"/>
      <c r="G6" s="215" t="s">
        <v>100</v>
      </c>
      <c r="H6" s="216"/>
      <c r="I6" s="217"/>
    </row>
    <row r="7" spans="1:9" ht="21.75" customHeight="1" x14ac:dyDescent="0.3">
      <c r="B7" s="99"/>
      <c r="C7" s="72" t="s">
        <v>55</v>
      </c>
      <c r="D7" s="106" t="s">
        <v>56</v>
      </c>
      <c r="E7" s="82"/>
      <c r="F7" s="40"/>
      <c r="G7" s="218" t="s">
        <v>101</v>
      </c>
      <c r="H7" s="219"/>
      <c r="I7" s="220"/>
    </row>
    <row r="8" spans="1:9" ht="21.75" customHeight="1" x14ac:dyDescent="0.3">
      <c r="B8" s="99"/>
      <c r="C8" s="104"/>
      <c r="D8" s="107" t="s">
        <v>57</v>
      </c>
      <c r="E8" s="108"/>
      <c r="F8" s="41"/>
      <c r="G8" s="221"/>
      <c r="H8" s="222"/>
      <c r="I8" s="223"/>
    </row>
    <row r="9" spans="1:9" ht="21.75" customHeight="1" x14ac:dyDescent="0.3">
      <c r="B9" s="99"/>
      <c r="C9" s="104"/>
      <c r="D9" s="87" t="s">
        <v>58</v>
      </c>
      <c r="E9" s="88"/>
      <c r="F9" s="42"/>
      <c r="G9" s="224"/>
      <c r="H9" s="225"/>
      <c r="I9" s="226"/>
    </row>
    <row r="10" spans="1:9" ht="21.75" customHeight="1" x14ac:dyDescent="0.3">
      <c r="B10" s="99"/>
      <c r="C10" s="105"/>
      <c r="D10" s="89" t="s">
        <v>59</v>
      </c>
      <c r="E10" s="90"/>
      <c r="F10" s="178">
        <f>SUM(F7:F9)</f>
        <v>0</v>
      </c>
      <c r="G10" s="227"/>
      <c r="H10" s="228"/>
      <c r="I10" s="204"/>
    </row>
    <row r="11" spans="1:9" ht="21.75" customHeight="1" x14ac:dyDescent="0.3">
      <c r="B11" s="99"/>
      <c r="C11" s="61" t="s">
        <v>60</v>
      </c>
      <c r="D11" s="75" t="s">
        <v>61</v>
      </c>
      <c r="E11" s="91"/>
      <c r="F11" s="43"/>
      <c r="G11" s="218" t="s">
        <v>102</v>
      </c>
      <c r="H11" s="219"/>
      <c r="I11" s="220"/>
    </row>
    <row r="12" spans="1:9" ht="21.75" customHeight="1" x14ac:dyDescent="0.3">
      <c r="B12" s="99"/>
      <c r="C12" s="62"/>
      <c r="D12" s="77" t="s">
        <v>62</v>
      </c>
      <c r="E12" s="65"/>
      <c r="F12" s="44"/>
      <c r="G12" s="224"/>
      <c r="H12" s="225"/>
      <c r="I12" s="226"/>
    </row>
    <row r="13" spans="1:9" ht="21.75" customHeight="1" x14ac:dyDescent="0.3">
      <c r="B13" s="99"/>
      <c r="C13" s="63"/>
      <c r="D13" s="79" t="s">
        <v>63</v>
      </c>
      <c r="E13" s="80"/>
      <c r="F13" s="178">
        <f>F11-F12</f>
        <v>0</v>
      </c>
      <c r="G13" s="227"/>
      <c r="H13" s="228"/>
      <c r="I13" s="204"/>
    </row>
    <row r="14" spans="1:9" ht="21.75" customHeight="1" x14ac:dyDescent="0.3">
      <c r="B14" s="99"/>
      <c r="C14" s="72" t="s">
        <v>64</v>
      </c>
      <c r="D14" s="75" t="s">
        <v>65</v>
      </c>
      <c r="E14" s="76"/>
      <c r="F14" s="43"/>
      <c r="G14" s="218" t="s">
        <v>103</v>
      </c>
      <c r="H14" s="219"/>
      <c r="I14" s="220"/>
    </row>
    <row r="15" spans="1:9" ht="21.75" customHeight="1" x14ac:dyDescent="0.3">
      <c r="B15" s="99"/>
      <c r="C15" s="73"/>
      <c r="D15" s="77" t="s">
        <v>66</v>
      </c>
      <c r="E15" s="78"/>
      <c r="F15" s="44"/>
      <c r="G15" s="224"/>
      <c r="H15" s="225"/>
      <c r="I15" s="226"/>
    </row>
    <row r="16" spans="1:9" ht="21.75" customHeight="1" x14ac:dyDescent="0.3">
      <c r="B16" s="99"/>
      <c r="C16" s="74"/>
      <c r="D16" s="79" t="s">
        <v>67</v>
      </c>
      <c r="E16" s="80"/>
      <c r="F16" s="178">
        <f>F14-F15</f>
        <v>0</v>
      </c>
      <c r="G16" s="227"/>
      <c r="H16" s="228"/>
      <c r="I16" s="204"/>
    </row>
    <row r="17" spans="2:9" ht="21.75" customHeight="1" x14ac:dyDescent="0.3">
      <c r="B17" s="99"/>
      <c r="C17" s="61" t="s">
        <v>68</v>
      </c>
      <c r="D17" s="81" t="s">
        <v>69</v>
      </c>
      <c r="E17" s="82"/>
      <c r="F17" s="43"/>
      <c r="G17" s="218" t="s">
        <v>104</v>
      </c>
      <c r="H17" s="219"/>
      <c r="I17" s="220"/>
    </row>
    <row r="18" spans="2:9" ht="21.75" customHeight="1" x14ac:dyDescent="0.3">
      <c r="B18" s="99"/>
      <c r="C18" s="62"/>
      <c r="D18" s="83" t="s">
        <v>70</v>
      </c>
      <c r="E18" s="84"/>
      <c r="F18" s="44"/>
      <c r="G18" s="221"/>
      <c r="H18" s="222"/>
      <c r="I18" s="223"/>
    </row>
    <row r="19" spans="2:9" ht="21.75" customHeight="1" x14ac:dyDescent="0.3">
      <c r="B19" s="99"/>
      <c r="C19" s="63"/>
      <c r="D19" s="85" t="s">
        <v>71</v>
      </c>
      <c r="E19" s="86"/>
      <c r="F19" s="178">
        <f>F17-F18</f>
        <v>0</v>
      </c>
      <c r="G19" s="224"/>
      <c r="H19" s="225"/>
      <c r="I19" s="226"/>
    </row>
    <row r="20" spans="2:9" ht="21.75" customHeight="1" x14ac:dyDescent="0.3">
      <c r="B20" s="99"/>
      <c r="C20" s="45" t="s">
        <v>72</v>
      </c>
      <c r="D20" s="59" t="s">
        <v>73</v>
      </c>
      <c r="E20" s="60"/>
      <c r="F20" s="178">
        <f>F5+F6-F10+F13+F16+F19</f>
        <v>0</v>
      </c>
      <c r="G20" s="229"/>
      <c r="H20" s="230"/>
      <c r="I20" s="231"/>
    </row>
    <row r="21" spans="2:9" ht="21.75" customHeight="1" x14ac:dyDescent="0.3">
      <c r="B21" s="99"/>
      <c r="C21" s="61" t="s">
        <v>74</v>
      </c>
      <c r="D21" s="64" t="s">
        <v>75</v>
      </c>
      <c r="E21" s="65"/>
      <c r="F21" s="44"/>
      <c r="G21" s="218" t="s">
        <v>105</v>
      </c>
      <c r="H21" s="219"/>
      <c r="I21" s="220"/>
    </row>
    <row r="22" spans="2:9" ht="21.75" customHeight="1" x14ac:dyDescent="0.3">
      <c r="B22" s="99"/>
      <c r="C22" s="62"/>
      <c r="D22" s="66" t="s">
        <v>76</v>
      </c>
      <c r="E22" s="67"/>
      <c r="F22" s="41"/>
      <c r="G22" s="221"/>
      <c r="H22" s="222"/>
      <c r="I22" s="223"/>
    </row>
    <row r="23" spans="2:9" ht="21.75" customHeight="1" x14ac:dyDescent="0.3">
      <c r="B23" s="99"/>
      <c r="C23" s="62"/>
      <c r="D23" s="68" t="s">
        <v>77</v>
      </c>
      <c r="E23" s="69"/>
      <c r="F23" s="42"/>
      <c r="G23" s="224"/>
      <c r="H23" s="225"/>
      <c r="I23" s="226"/>
    </row>
    <row r="24" spans="2:9" ht="21.75" customHeight="1" x14ac:dyDescent="0.3">
      <c r="B24" s="99"/>
      <c r="C24" s="63"/>
      <c r="D24" s="70" t="s">
        <v>78</v>
      </c>
      <c r="E24" s="71"/>
      <c r="F24" s="178">
        <f>SUM(F21:F23)</f>
        <v>0</v>
      </c>
      <c r="G24" s="232"/>
      <c r="H24" s="233"/>
      <c r="I24" s="234"/>
    </row>
    <row r="25" spans="2:9" ht="21.75" customHeight="1" x14ac:dyDescent="0.3">
      <c r="B25" s="100"/>
      <c r="C25" s="46" t="s">
        <v>79</v>
      </c>
      <c r="D25" s="49" t="s">
        <v>80</v>
      </c>
      <c r="E25" s="50"/>
      <c r="F25" s="179">
        <f>F20-F24</f>
        <v>0</v>
      </c>
      <c r="G25" s="235" t="s">
        <v>106</v>
      </c>
      <c r="H25" s="236"/>
      <c r="I25" s="237"/>
    </row>
    <row r="26" spans="2:9" ht="21.75" customHeight="1" x14ac:dyDescent="0.3">
      <c r="B26" s="51" t="s">
        <v>81</v>
      </c>
      <c r="C26" s="52"/>
      <c r="D26" s="55" t="s">
        <v>82</v>
      </c>
      <c r="E26" s="56"/>
      <c r="F26" s="43"/>
      <c r="G26" s="238" t="s">
        <v>107</v>
      </c>
      <c r="H26" s="239"/>
      <c r="I26" s="240"/>
    </row>
    <row r="27" spans="2:9" ht="21.75" customHeight="1" thickBot="1" x14ac:dyDescent="0.35">
      <c r="B27" s="53"/>
      <c r="C27" s="54"/>
      <c r="D27" s="57" t="s">
        <v>83</v>
      </c>
      <c r="E27" s="58"/>
      <c r="F27" s="47" t="s">
        <v>84</v>
      </c>
      <c r="G27" s="241" t="s">
        <v>108</v>
      </c>
      <c r="H27" s="242"/>
      <c r="I27" s="243"/>
    </row>
    <row r="28" spans="2:9" ht="21.75" customHeight="1" x14ac:dyDescent="0.3"/>
  </sheetData>
  <mergeCells count="44">
    <mergeCell ref="G17:I19"/>
    <mergeCell ref="G21:I23"/>
    <mergeCell ref="G24:I24"/>
    <mergeCell ref="G25:I25"/>
    <mergeCell ref="G27:I27"/>
    <mergeCell ref="G3:I3"/>
    <mergeCell ref="G4:I4"/>
    <mergeCell ref="G6:I6"/>
    <mergeCell ref="G7:I9"/>
    <mergeCell ref="G11:I12"/>
    <mergeCell ref="G14:I15"/>
    <mergeCell ref="D25:E25"/>
    <mergeCell ref="B26:C27"/>
    <mergeCell ref="D26:E26"/>
    <mergeCell ref="D27:E27"/>
    <mergeCell ref="D4:F4"/>
    <mergeCell ref="C17:C19"/>
    <mergeCell ref="D17:E17"/>
    <mergeCell ref="D18:E18"/>
    <mergeCell ref="D19:E19"/>
    <mergeCell ref="D20:E20"/>
    <mergeCell ref="C21:C24"/>
    <mergeCell ref="D21:E21"/>
    <mergeCell ref="D22:E22"/>
    <mergeCell ref="D23:E23"/>
    <mergeCell ref="D24:E24"/>
    <mergeCell ref="D10:E10"/>
    <mergeCell ref="C11:C13"/>
    <mergeCell ref="D11:E11"/>
    <mergeCell ref="D12:E12"/>
    <mergeCell ref="D13:E13"/>
    <mergeCell ref="C14:C16"/>
    <mergeCell ref="D14:E14"/>
    <mergeCell ref="D15:E15"/>
    <mergeCell ref="D16:E16"/>
    <mergeCell ref="B3:C4"/>
    <mergeCell ref="D3:F3"/>
    <mergeCell ref="B5:B25"/>
    <mergeCell ref="D5:E5"/>
    <mergeCell ref="D6:E6"/>
    <mergeCell ref="C7:C10"/>
    <mergeCell ref="D7:E7"/>
    <mergeCell ref="D8:E8"/>
    <mergeCell ref="D9:E9"/>
  </mergeCells>
  <phoneticPr fontId="1" type="noConversion"/>
  <dataValidations count="1">
    <dataValidation type="list" allowBlank="1" showInputMessage="1" showErrorMessage="1" sqref="F27" xr:uid="{527957FF-3613-4DFB-89EC-8DE39BABCDAB}">
      <formula1>"①,②,③"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AD3E3-65D7-4386-895A-2610BB1E46D5}">
  <dimension ref="A1:H85"/>
  <sheetViews>
    <sheetView workbookViewId="0">
      <selection activeCell="B5" sqref="B5"/>
    </sheetView>
  </sheetViews>
  <sheetFormatPr defaultRowHeight="16.5" x14ac:dyDescent="0.3"/>
  <cols>
    <col min="2" max="10" width="32.5" customWidth="1"/>
    <col min="11" max="12" width="15.5" customWidth="1"/>
  </cols>
  <sheetData>
    <row r="1" spans="1:5" ht="24" customHeight="1" x14ac:dyDescent="0.3">
      <c r="A1" s="244" t="s">
        <v>0</v>
      </c>
    </row>
    <row r="2" spans="1:5" ht="24" customHeight="1" x14ac:dyDescent="0.3">
      <c r="A2" s="1"/>
    </row>
    <row r="3" spans="1:5" ht="24" customHeight="1" x14ac:dyDescent="0.3">
      <c r="A3" s="1"/>
    </row>
    <row r="4" spans="1:5" ht="24" customHeight="1" x14ac:dyDescent="0.3">
      <c r="A4" s="2" t="s">
        <v>85</v>
      </c>
    </row>
    <row r="5" spans="1:5" ht="24" customHeight="1" x14ac:dyDescent="0.3">
      <c r="A5" s="1"/>
    </row>
    <row r="6" spans="1:5" ht="24" customHeight="1" thickBot="1" x14ac:dyDescent="0.35">
      <c r="A6" s="1"/>
      <c r="B6" s="13" t="s">
        <v>16</v>
      </c>
      <c r="C6" s="29"/>
      <c r="D6" s="12"/>
      <c r="E6" s="14"/>
    </row>
    <row r="7" spans="1:5" ht="24" customHeight="1" x14ac:dyDescent="0.3">
      <c r="A7" s="1"/>
      <c r="B7" s="15" t="s">
        <v>10</v>
      </c>
      <c r="C7" s="16" t="s">
        <v>11</v>
      </c>
      <c r="D7" s="16" t="s">
        <v>12</v>
      </c>
      <c r="E7" s="16" t="s">
        <v>13</v>
      </c>
    </row>
    <row r="8" spans="1:5" ht="24" customHeight="1" x14ac:dyDescent="0.3">
      <c r="A8" s="1"/>
      <c r="B8" s="17" t="s">
        <v>14</v>
      </c>
      <c r="C8" s="18"/>
      <c r="D8" s="19"/>
      <c r="E8" s="20">
        <f t="shared" ref="E8:E13" si="0">C8*D8</f>
        <v>0</v>
      </c>
    </row>
    <row r="9" spans="1:5" ht="24" customHeight="1" x14ac:dyDescent="0.3">
      <c r="A9" s="1"/>
      <c r="B9" s="17" t="s">
        <v>14</v>
      </c>
      <c r="C9" s="18"/>
      <c r="D9" s="19"/>
      <c r="E9" s="20">
        <f t="shared" si="0"/>
        <v>0</v>
      </c>
    </row>
    <row r="10" spans="1:5" ht="24" customHeight="1" x14ac:dyDescent="0.3">
      <c r="A10" s="1"/>
      <c r="B10" s="17" t="s">
        <v>14</v>
      </c>
      <c r="C10" s="18"/>
      <c r="D10" s="19"/>
      <c r="E10" s="20">
        <f t="shared" si="0"/>
        <v>0</v>
      </c>
    </row>
    <row r="11" spans="1:5" ht="24" customHeight="1" x14ac:dyDescent="0.3">
      <c r="A11" s="1"/>
      <c r="B11" s="17" t="s">
        <v>14</v>
      </c>
      <c r="C11" s="18"/>
      <c r="D11" s="19"/>
      <c r="E11" s="20">
        <f t="shared" si="0"/>
        <v>0</v>
      </c>
    </row>
    <row r="12" spans="1:5" ht="24" customHeight="1" x14ac:dyDescent="0.3">
      <c r="A12" s="1"/>
      <c r="B12" s="17" t="s">
        <v>14</v>
      </c>
      <c r="C12" s="18"/>
      <c r="D12" s="19"/>
      <c r="E12" s="20">
        <f t="shared" si="0"/>
        <v>0</v>
      </c>
    </row>
    <row r="13" spans="1:5" ht="24" customHeight="1" x14ac:dyDescent="0.3">
      <c r="A13" s="1"/>
      <c r="B13" s="17" t="s">
        <v>14</v>
      </c>
      <c r="C13" s="18"/>
      <c r="D13" s="19"/>
      <c r="E13" s="20">
        <f t="shared" si="0"/>
        <v>0</v>
      </c>
    </row>
    <row r="14" spans="1:5" ht="24" customHeight="1" thickBot="1" x14ac:dyDescent="0.35">
      <c r="A14" s="1"/>
      <c r="B14" s="21" t="s">
        <v>15</v>
      </c>
      <c r="C14" s="22">
        <f>SUM(C8:C13)</f>
        <v>0</v>
      </c>
      <c r="D14" s="23">
        <f>SUM(D8:D13)</f>
        <v>0</v>
      </c>
      <c r="E14" s="24">
        <f>SUM(E8:E13)</f>
        <v>0</v>
      </c>
    </row>
    <row r="15" spans="1:5" ht="24" customHeight="1" x14ac:dyDescent="0.3">
      <c r="A15" s="1"/>
      <c r="B15" s="25"/>
      <c r="C15" s="26"/>
      <c r="D15" s="27"/>
      <c r="E15" s="28"/>
    </row>
    <row r="16" spans="1:5" ht="24" customHeight="1" x14ac:dyDescent="0.3">
      <c r="A16" s="1"/>
      <c r="B16" s="48" t="s">
        <v>17</v>
      </c>
      <c r="C16" s="26"/>
      <c r="D16" s="27"/>
      <c r="E16" s="28"/>
    </row>
    <row r="17" spans="1:8" ht="24" customHeight="1" x14ac:dyDescent="0.3">
      <c r="A17" s="1"/>
      <c r="B17" s="25"/>
      <c r="C17" s="26"/>
      <c r="D17" s="27"/>
      <c r="E17" s="28"/>
    </row>
    <row r="18" spans="1:8" ht="24" customHeight="1" x14ac:dyDescent="0.3">
      <c r="A18" t="s">
        <v>18</v>
      </c>
    </row>
    <row r="19" spans="1:8" ht="24" customHeight="1" x14ac:dyDescent="0.3">
      <c r="B19" s="146" t="s">
        <v>1</v>
      </c>
      <c r="C19" s="148" t="s">
        <v>2</v>
      </c>
      <c r="D19" s="149"/>
      <c r="E19" s="148" t="s">
        <v>3</v>
      </c>
      <c r="F19" s="150"/>
      <c r="G19" s="146" t="s">
        <v>8</v>
      </c>
      <c r="H19" s="146" t="s">
        <v>4</v>
      </c>
    </row>
    <row r="20" spans="1:8" ht="24" customHeight="1" x14ac:dyDescent="0.3">
      <c r="B20" s="147"/>
      <c r="C20" s="3"/>
      <c r="D20" s="4" t="s">
        <v>5</v>
      </c>
      <c r="E20" s="3"/>
      <c r="F20" s="5" t="s">
        <v>6</v>
      </c>
      <c r="G20" s="147"/>
      <c r="H20" s="147"/>
    </row>
    <row r="21" spans="1:8" ht="24" customHeight="1" x14ac:dyDescent="0.3">
      <c r="B21" s="6" t="s">
        <v>7</v>
      </c>
      <c r="C21" s="7"/>
      <c r="D21" s="8"/>
      <c r="E21" s="9"/>
      <c r="F21" s="8"/>
      <c r="G21" s="10"/>
      <c r="H21" s="10"/>
    </row>
    <row r="22" spans="1:8" ht="24" customHeight="1" x14ac:dyDescent="0.3">
      <c r="B22" s="6" t="s">
        <v>7</v>
      </c>
      <c r="C22" s="11"/>
      <c r="D22" s="8"/>
      <c r="E22" s="6"/>
      <c r="F22" s="8"/>
      <c r="G22" s="10"/>
      <c r="H22" s="10"/>
    </row>
    <row r="23" spans="1:8" ht="24" customHeight="1" x14ac:dyDescent="0.3">
      <c r="B23" s="6" t="s">
        <v>7</v>
      </c>
      <c r="C23" s="11"/>
      <c r="D23" s="8"/>
      <c r="E23" s="6"/>
      <c r="F23" s="8"/>
      <c r="G23" s="10"/>
      <c r="H23" s="10"/>
    </row>
    <row r="24" spans="1:8" ht="24" customHeight="1" x14ac:dyDescent="0.3">
      <c r="B24" s="6" t="s">
        <v>7</v>
      </c>
      <c r="C24" s="11"/>
      <c r="D24" s="8"/>
      <c r="E24" s="6"/>
      <c r="F24" s="8"/>
      <c r="G24" s="10"/>
      <c r="H24" s="10"/>
    </row>
    <row r="25" spans="1:8" ht="24" customHeight="1" x14ac:dyDescent="0.3">
      <c r="B25" s="6" t="s">
        <v>7</v>
      </c>
      <c r="C25" s="11"/>
      <c r="D25" s="8"/>
      <c r="E25" s="6"/>
      <c r="F25" s="8"/>
      <c r="G25" s="10"/>
      <c r="H25" s="10"/>
    </row>
    <row r="26" spans="1:8" ht="24" customHeight="1" x14ac:dyDescent="0.3">
      <c r="B26" s="6" t="s">
        <v>7</v>
      </c>
      <c r="C26" s="11"/>
      <c r="D26" s="8"/>
      <c r="E26" s="6"/>
      <c r="F26" s="8"/>
      <c r="G26" s="10"/>
      <c r="H26" s="10"/>
    </row>
    <row r="27" spans="1:8" ht="24" customHeight="1" x14ac:dyDescent="0.3">
      <c r="B27" s="6" t="s">
        <v>7</v>
      </c>
      <c r="C27" s="11"/>
      <c r="D27" s="8"/>
      <c r="E27" s="6"/>
      <c r="F27" s="8"/>
      <c r="G27" s="10"/>
      <c r="H27" s="10"/>
    </row>
    <row r="28" spans="1:8" ht="24" customHeight="1" x14ac:dyDescent="0.3"/>
    <row r="29" spans="1:8" ht="24" customHeight="1" x14ac:dyDescent="0.3"/>
    <row r="30" spans="1:8" ht="24" customHeight="1" x14ac:dyDescent="0.3"/>
    <row r="31" spans="1:8" ht="24" customHeight="1" x14ac:dyDescent="0.3">
      <c r="A31" t="s">
        <v>19</v>
      </c>
    </row>
    <row r="32" spans="1:8" ht="24" customHeight="1" x14ac:dyDescent="0.3">
      <c r="B32" s="151" t="s">
        <v>9</v>
      </c>
    </row>
    <row r="33" spans="2:8" ht="24" customHeight="1" x14ac:dyDescent="0.3">
      <c r="B33" s="146" t="s">
        <v>1</v>
      </c>
      <c r="C33" s="148" t="s">
        <v>2</v>
      </c>
      <c r="D33" s="149"/>
      <c r="E33" s="148" t="s">
        <v>3</v>
      </c>
      <c r="F33" s="150"/>
      <c r="G33" s="146" t="s">
        <v>8</v>
      </c>
      <c r="H33" s="146" t="s">
        <v>4</v>
      </c>
    </row>
    <row r="34" spans="2:8" ht="24" customHeight="1" x14ac:dyDescent="0.3">
      <c r="B34" s="147"/>
      <c r="C34" s="3"/>
      <c r="D34" s="4" t="s">
        <v>5</v>
      </c>
      <c r="E34" s="3"/>
      <c r="F34" s="5" t="s">
        <v>6</v>
      </c>
      <c r="G34" s="147"/>
      <c r="H34" s="147"/>
    </row>
    <row r="35" spans="2:8" ht="24" customHeight="1" x14ac:dyDescent="0.3">
      <c r="B35" s="6" t="s">
        <v>7</v>
      </c>
      <c r="C35" s="7"/>
      <c r="D35" s="8"/>
      <c r="E35" s="9"/>
      <c r="F35" s="8"/>
      <c r="G35" s="10"/>
      <c r="H35" s="10"/>
    </row>
    <row r="36" spans="2:8" ht="24" customHeight="1" x14ac:dyDescent="0.3">
      <c r="B36" s="6" t="s">
        <v>7</v>
      </c>
      <c r="C36" s="11"/>
      <c r="D36" s="8"/>
      <c r="E36" s="6"/>
      <c r="F36" s="8"/>
      <c r="G36" s="10"/>
      <c r="H36" s="10"/>
    </row>
    <row r="37" spans="2:8" ht="24" customHeight="1" x14ac:dyDescent="0.3">
      <c r="B37" s="6" t="s">
        <v>7</v>
      </c>
      <c r="C37" s="11"/>
      <c r="D37" s="8"/>
      <c r="E37" s="6"/>
      <c r="F37" s="8"/>
      <c r="G37" s="10"/>
      <c r="H37" s="10"/>
    </row>
    <row r="38" spans="2:8" ht="24" customHeight="1" x14ac:dyDescent="0.3">
      <c r="B38" s="6" t="s">
        <v>7</v>
      </c>
      <c r="C38" s="11"/>
      <c r="D38" s="8"/>
      <c r="E38" s="6"/>
      <c r="F38" s="8"/>
      <c r="G38" s="10"/>
      <c r="H38" s="10"/>
    </row>
    <row r="39" spans="2:8" ht="24" customHeight="1" x14ac:dyDescent="0.3">
      <c r="B39" s="6" t="s">
        <v>7</v>
      </c>
      <c r="C39" s="11"/>
      <c r="D39" s="8"/>
      <c r="E39" s="6"/>
      <c r="F39" s="8"/>
      <c r="G39" s="10"/>
      <c r="H39" s="10"/>
    </row>
    <row r="40" spans="2:8" ht="24" customHeight="1" x14ac:dyDescent="0.3">
      <c r="B40" s="6" t="s">
        <v>7</v>
      </c>
      <c r="C40" s="11"/>
      <c r="D40" s="8"/>
      <c r="E40" s="6"/>
      <c r="F40" s="8"/>
      <c r="G40" s="10"/>
      <c r="H40" s="10"/>
    </row>
    <row r="41" spans="2:8" ht="24" customHeight="1" x14ac:dyDescent="0.3">
      <c r="B41" s="6" t="s">
        <v>7</v>
      </c>
      <c r="C41" s="11"/>
      <c r="D41" s="8"/>
      <c r="E41" s="6"/>
      <c r="F41" s="8"/>
      <c r="G41" s="10"/>
      <c r="H41" s="10"/>
    </row>
    <row r="42" spans="2:8" ht="24" customHeight="1" x14ac:dyDescent="0.3">
      <c r="B42" s="151" t="s">
        <v>9</v>
      </c>
    </row>
    <row r="43" spans="2:8" ht="24" customHeight="1" x14ac:dyDescent="0.3">
      <c r="B43" s="146" t="s">
        <v>1</v>
      </c>
      <c r="C43" s="148" t="s">
        <v>2</v>
      </c>
      <c r="D43" s="149"/>
      <c r="E43" s="148" t="s">
        <v>3</v>
      </c>
      <c r="F43" s="150"/>
      <c r="G43" s="146" t="s">
        <v>8</v>
      </c>
      <c r="H43" s="146" t="s">
        <v>4</v>
      </c>
    </row>
    <row r="44" spans="2:8" ht="24" customHeight="1" x14ac:dyDescent="0.3">
      <c r="B44" s="147"/>
      <c r="C44" s="3"/>
      <c r="D44" s="4" t="s">
        <v>5</v>
      </c>
      <c r="E44" s="3"/>
      <c r="F44" s="5" t="s">
        <v>6</v>
      </c>
      <c r="G44" s="147"/>
      <c r="H44" s="147"/>
    </row>
    <row r="45" spans="2:8" ht="24" customHeight="1" x14ac:dyDescent="0.3">
      <c r="B45" s="6" t="s">
        <v>7</v>
      </c>
      <c r="C45" s="7"/>
      <c r="D45" s="8"/>
      <c r="E45" s="9"/>
      <c r="F45" s="8"/>
      <c r="G45" s="10"/>
      <c r="H45" s="10"/>
    </row>
    <row r="46" spans="2:8" ht="24" customHeight="1" x14ac:dyDescent="0.3">
      <c r="B46" s="6" t="s">
        <v>7</v>
      </c>
      <c r="C46" s="11"/>
      <c r="D46" s="8"/>
      <c r="E46" s="6"/>
      <c r="F46" s="8"/>
      <c r="G46" s="10"/>
      <c r="H46" s="10"/>
    </row>
    <row r="47" spans="2:8" ht="24" customHeight="1" x14ac:dyDescent="0.3">
      <c r="B47" s="6" t="s">
        <v>7</v>
      </c>
      <c r="C47" s="11"/>
      <c r="D47" s="8"/>
      <c r="E47" s="6"/>
      <c r="F47" s="8"/>
      <c r="G47" s="10"/>
      <c r="H47" s="10"/>
    </row>
    <row r="48" spans="2:8" ht="24" customHeight="1" x14ac:dyDescent="0.3">
      <c r="B48" s="6" t="s">
        <v>7</v>
      </c>
      <c r="C48" s="11"/>
      <c r="D48" s="8"/>
      <c r="E48" s="6"/>
      <c r="F48" s="8"/>
      <c r="G48" s="10"/>
      <c r="H48" s="10"/>
    </row>
    <row r="49" spans="2:8" ht="24" customHeight="1" x14ac:dyDescent="0.3">
      <c r="B49" s="6" t="s">
        <v>7</v>
      </c>
      <c r="C49" s="11"/>
      <c r="D49" s="8"/>
      <c r="E49" s="6"/>
      <c r="F49" s="8"/>
      <c r="G49" s="10"/>
      <c r="H49" s="10"/>
    </row>
    <row r="50" spans="2:8" ht="24" customHeight="1" x14ac:dyDescent="0.3">
      <c r="B50" s="6" t="s">
        <v>7</v>
      </c>
      <c r="C50" s="11"/>
      <c r="D50" s="8"/>
      <c r="E50" s="6"/>
      <c r="F50" s="8"/>
      <c r="G50" s="10"/>
      <c r="H50" s="10"/>
    </row>
    <row r="51" spans="2:8" ht="24" customHeight="1" x14ac:dyDescent="0.3">
      <c r="B51" s="6" t="s">
        <v>7</v>
      </c>
      <c r="C51" s="11"/>
      <c r="D51" s="8"/>
      <c r="E51" s="6"/>
      <c r="F51" s="8"/>
      <c r="G51" s="10"/>
      <c r="H51" s="10"/>
    </row>
    <row r="52" spans="2:8" ht="24" customHeight="1" x14ac:dyDescent="0.3">
      <c r="B52" s="151" t="s">
        <v>9</v>
      </c>
    </row>
    <row r="53" spans="2:8" ht="24" customHeight="1" x14ac:dyDescent="0.3">
      <c r="B53" s="146" t="s">
        <v>1</v>
      </c>
      <c r="C53" s="148" t="s">
        <v>2</v>
      </c>
      <c r="D53" s="149"/>
      <c r="E53" s="148" t="s">
        <v>3</v>
      </c>
      <c r="F53" s="150"/>
      <c r="G53" s="146" t="s">
        <v>8</v>
      </c>
      <c r="H53" s="146" t="s">
        <v>4</v>
      </c>
    </row>
    <row r="54" spans="2:8" ht="24" customHeight="1" x14ac:dyDescent="0.3">
      <c r="B54" s="147"/>
      <c r="C54" s="3"/>
      <c r="D54" s="4" t="s">
        <v>5</v>
      </c>
      <c r="E54" s="3"/>
      <c r="F54" s="5" t="s">
        <v>6</v>
      </c>
      <c r="G54" s="147"/>
      <c r="H54" s="147"/>
    </row>
    <row r="55" spans="2:8" ht="24" customHeight="1" x14ac:dyDescent="0.3">
      <c r="B55" s="6" t="s">
        <v>7</v>
      </c>
      <c r="C55" s="7"/>
      <c r="D55" s="8"/>
      <c r="E55" s="9"/>
      <c r="F55" s="8"/>
      <c r="G55" s="10"/>
      <c r="H55" s="10"/>
    </row>
    <row r="56" spans="2:8" ht="24" customHeight="1" x14ac:dyDescent="0.3">
      <c r="B56" s="6" t="s">
        <v>7</v>
      </c>
      <c r="C56" s="11"/>
      <c r="D56" s="8"/>
      <c r="E56" s="6"/>
      <c r="F56" s="8"/>
      <c r="G56" s="10"/>
      <c r="H56" s="10"/>
    </row>
    <row r="57" spans="2:8" ht="24" customHeight="1" x14ac:dyDescent="0.3">
      <c r="B57" s="6" t="s">
        <v>7</v>
      </c>
      <c r="C57" s="11"/>
      <c r="D57" s="8"/>
      <c r="E57" s="6"/>
      <c r="F57" s="8"/>
      <c r="G57" s="10"/>
      <c r="H57" s="10"/>
    </row>
    <row r="58" spans="2:8" ht="24" customHeight="1" x14ac:dyDescent="0.3">
      <c r="B58" s="6" t="s">
        <v>7</v>
      </c>
      <c r="C58" s="11"/>
      <c r="D58" s="8"/>
      <c r="E58" s="6"/>
      <c r="F58" s="8"/>
      <c r="G58" s="10"/>
      <c r="H58" s="10"/>
    </row>
    <row r="59" spans="2:8" ht="24" customHeight="1" x14ac:dyDescent="0.3">
      <c r="B59" s="6" t="s">
        <v>7</v>
      </c>
      <c r="C59" s="11"/>
      <c r="D59" s="8"/>
      <c r="E59" s="6"/>
      <c r="F59" s="8"/>
      <c r="G59" s="10"/>
      <c r="H59" s="10"/>
    </row>
    <row r="60" spans="2:8" ht="24" customHeight="1" x14ac:dyDescent="0.3">
      <c r="B60" s="6" t="s">
        <v>7</v>
      </c>
      <c r="C60" s="11"/>
      <c r="D60" s="8"/>
      <c r="E60" s="6"/>
      <c r="F60" s="8"/>
      <c r="G60" s="10"/>
      <c r="H60" s="10"/>
    </row>
    <row r="61" spans="2:8" ht="24" customHeight="1" x14ac:dyDescent="0.3">
      <c r="B61" s="6" t="s">
        <v>7</v>
      </c>
      <c r="C61" s="11"/>
      <c r="D61" s="8"/>
      <c r="E61" s="6"/>
      <c r="F61" s="8"/>
      <c r="G61" s="10"/>
      <c r="H61" s="10"/>
    </row>
    <row r="62" spans="2:8" ht="24" customHeight="1" x14ac:dyDescent="0.3">
      <c r="B62" s="151" t="s">
        <v>9</v>
      </c>
    </row>
    <row r="63" spans="2:8" ht="24" customHeight="1" x14ac:dyDescent="0.3">
      <c r="B63" s="146" t="s">
        <v>1</v>
      </c>
      <c r="C63" s="148" t="s">
        <v>2</v>
      </c>
      <c r="D63" s="149"/>
      <c r="E63" s="148" t="s">
        <v>3</v>
      </c>
      <c r="F63" s="150"/>
      <c r="G63" s="146" t="s">
        <v>8</v>
      </c>
      <c r="H63" s="146" t="s">
        <v>4</v>
      </c>
    </row>
    <row r="64" spans="2:8" ht="24" customHeight="1" x14ac:dyDescent="0.3">
      <c r="B64" s="147"/>
      <c r="C64" s="3"/>
      <c r="D64" s="4" t="s">
        <v>5</v>
      </c>
      <c r="E64" s="3"/>
      <c r="F64" s="5" t="s">
        <v>6</v>
      </c>
      <c r="G64" s="147"/>
      <c r="H64" s="147"/>
    </row>
    <row r="65" spans="2:8" ht="24" customHeight="1" x14ac:dyDescent="0.3">
      <c r="B65" s="6" t="s">
        <v>7</v>
      </c>
      <c r="C65" s="7"/>
      <c r="D65" s="8"/>
      <c r="E65" s="9"/>
      <c r="F65" s="8"/>
      <c r="G65" s="10"/>
      <c r="H65" s="10"/>
    </row>
    <row r="66" spans="2:8" ht="24" customHeight="1" x14ac:dyDescent="0.3">
      <c r="B66" s="6" t="s">
        <v>7</v>
      </c>
      <c r="C66" s="11"/>
      <c r="D66" s="8"/>
      <c r="E66" s="6"/>
      <c r="F66" s="8"/>
      <c r="G66" s="10"/>
      <c r="H66" s="10"/>
    </row>
    <row r="67" spans="2:8" ht="24" customHeight="1" x14ac:dyDescent="0.3">
      <c r="B67" s="6" t="s">
        <v>7</v>
      </c>
      <c r="C67" s="11"/>
      <c r="D67" s="8"/>
      <c r="E67" s="6"/>
      <c r="F67" s="8"/>
      <c r="G67" s="10"/>
      <c r="H67" s="10"/>
    </row>
    <row r="68" spans="2:8" ht="24" customHeight="1" x14ac:dyDescent="0.3">
      <c r="B68" s="6" t="s">
        <v>7</v>
      </c>
      <c r="C68" s="11"/>
      <c r="D68" s="8"/>
      <c r="E68" s="6"/>
      <c r="F68" s="8"/>
      <c r="G68" s="10"/>
      <c r="H68" s="10"/>
    </row>
    <row r="69" spans="2:8" ht="24" customHeight="1" x14ac:dyDescent="0.3">
      <c r="B69" s="6" t="s">
        <v>7</v>
      </c>
      <c r="C69" s="11"/>
      <c r="D69" s="8"/>
      <c r="E69" s="6"/>
      <c r="F69" s="8"/>
      <c r="G69" s="10"/>
      <c r="H69" s="10"/>
    </row>
    <row r="70" spans="2:8" ht="24" customHeight="1" x14ac:dyDescent="0.3">
      <c r="B70" s="6" t="s">
        <v>7</v>
      </c>
      <c r="C70" s="11"/>
      <c r="D70" s="8"/>
      <c r="E70" s="6"/>
      <c r="F70" s="8"/>
      <c r="G70" s="10"/>
      <c r="H70" s="10"/>
    </row>
    <row r="71" spans="2:8" ht="24" customHeight="1" x14ac:dyDescent="0.3">
      <c r="B71" s="6" t="s">
        <v>7</v>
      </c>
      <c r="C71" s="11"/>
      <c r="D71" s="8"/>
      <c r="E71" s="6"/>
      <c r="F71" s="8"/>
      <c r="G71" s="10"/>
      <c r="H71" s="10"/>
    </row>
    <row r="72" spans="2:8" ht="24" customHeight="1" x14ac:dyDescent="0.3"/>
    <row r="73" spans="2:8" ht="24" customHeight="1" x14ac:dyDescent="0.3"/>
    <row r="74" spans="2:8" ht="24" customHeight="1" x14ac:dyDescent="0.3"/>
    <row r="75" spans="2:8" ht="24" customHeight="1" x14ac:dyDescent="0.3"/>
    <row r="76" spans="2:8" ht="24" customHeight="1" x14ac:dyDescent="0.3"/>
    <row r="77" spans="2:8" ht="24" customHeight="1" x14ac:dyDescent="0.3"/>
    <row r="78" spans="2:8" ht="24" customHeight="1" x14ac:dyDescent="0.3"/>
    <row r="79" spans="2:8" ht="24" customHeight="1" x14ac:dyDescent="0.3"/>
    <row r="80" spans="2:8" ht="24" customHeight="1" x14ac:dyDescent="0.3"/>
    <row r="81" ht="24" customHeight="1" x14ac:dyDescent="0.3"/>
    <row r="82" ht="24" customHeight="1" x14ac:dyDescent="0.3"/>
    <row r="83" ht="24" customHeight="1" x14ac:dyDescent="0.3"/>
    <row r="84" ht="24" customHeight="1" x14ac:dyDescent="0.3"/>
    <row r="85" ht="24" customHeight="1" x14ac:dyDescent="0.3"/>
  </sheetData>
  <mergeCells count="25">
    <mergeCell ref="B63:B64"/>
    <mergeCell ref="C63:D63"/>
    <mergeCell ref="E63:F63"/>
    <mergeCell ref="G63:G64"/>
    <mergeCell ref="H63:H64"/>
    <mergeCell ref="B43:B44"/>
    <mergeCell ref="C43:D43"/>
    <mergeCell ref="E43:F43"/>
    <mergeCell ref="G43:G44"/>
    <mergeCell ref="H43:H44"/>
    <mergeCell ref="B53:B54"/>
    <mergeCell ref="C53:D53"/>
    <mergeCell ref="E53:F53"/>
    <mergeCell ref="G53:G54"/>
    <mergeCell ref="H53:H54"/>
    <mergeCell ref="B19:B20"/>
    <mergeCell ref="C19:D19"/>
    <mergeCell ref="E19:F19"/>
    <mergeCell ref="G19:G20"/>
    <mergeCell ref="H19:H20"/>
    <mergeCell ref="B33:B34"/>
    <mergeCell ref="C33:D33"/>
    <mergeCell ref="E33:F33"/>
    <mergeCell ref="G33:G34"/>
    <mergeCell ref="H33:H3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91F65-2AA8-4085-BED7-14D4C1B64C1A}">
  <dimension ref="A1:I33"/>
  <sheetViews>
    <sheetView tabSelected="1" workbookViewId="0">
      <selection activeCell="I3" sqref="I3"/>
    </sheetView>
  </sheetViews>
  <sheetFormatPr defaultRowHeight="16.5" x14ac:dyDescent="0.3"/>
  <cols>
    <col min="2" max="5" width="11" customWidth="1"/>
    <col min="6" max="6" width="35.5" customWidth="1"/>
    <col min="7" max="7" width="29.875" customWidth="1"/>
    <col min="8" max="8" width="18.5" customWidth="1"/>
    <col min="9" max="9" width="71" customWidth="1"/>
  </cols>
  <sheetData>
    <row r="1" spans="1:9" ht="24" customHeight="1" x14ac:dyDescent="0.3">
      <c r="A1" s="244" t="s">
        <v>110</v>
      </c>
      <c r="D1" s="251" t="s">
        <v>47</v>
      </c>
    </row>
    <row r="2" spans="1:9" ht="24" customHeight="1" x14ac:dyDescent="0.3">
      <c r="B2" s="251"/>
    </row>
    <row r="3" spans="1:9" ht="24" customHeight="1" thickBot="1" x14ac:dyDescent="0.35">
      <c r="A3" s="1"/>
      <c r="F3" s="245" t="s">
        <v>111</v>
      </c>
    </row>
    <row r="4" spans="1:9" ht="39" customHeight="1" thickBot="1" x14ac:dyDescent="0.35">
      <c r="B4" s="92" t="s">
        <v>20</v>
      </c>
      <c r="C4" s="93"/>
      <c r="D4" s="96" t="s">
        <v>32</v>
      </c>
      <c r="E4" s="97"/>
      <c r="F4" s="97"/>
      <c r="G4" s="162" t="s">
        <v>112</v>
      </c>
      <c r="H4" s="139" t="s">
        <v>87</v>
      </c>
      <c r="I4" s="180"/>
    </row>
    <row r="5" spans="1:9" ht="39" customHeight="1" x14ac:dyDescent="0.3">
      <c r="B5" s="94"/>
      <c r="C5" s="95"/>
      <c r="D5" s="140" t="s">
        <v>33</v>
      </c>
      <c r="E5" s="141"/>
      <c r="F5" s="152" t="s">
        <v>86</v>
      </c>
      <c r="G5" s="163"/>
      <c r="H5" s="181" t="s">
        <v>88</v>
      </c>
      <c r="I5" s="182"/>
    </row>
    <row r="6" spans="1:9" ht="39" customHeight="1" x14ac:dyDescent="0.3">
      <c r="B6" s="98" t="s">
        <v>21</v>
      </c>
      <c r="C6" s="145" t="s">
        <v>25</v>
      </c>
      <c r="D6" s="135" t="s">
        <v>34</v>
      </c>
      <c r="E6" s="116"/>
      <c r="F6" s="153"/>
      <c r="G6" s="164"/>
      <c r="H6" s="115" t="s">
        <v>89</v>
      </c>
      <c r="I6" s="183"/>
    </row>
    <row r="7" spans="1:9" ht="39" customHeight="1" x14ac:dyDescent="0.3">
      <c r="B7" s="142"/>
      <c r="C7" s="122"/>
      <c r="D7" s="64" t="s">
        <v>35</v>
      </c>
      <c r="E7" s="65"/>
      <c r="F7" s="154"/>
      <c r="G7" s="165"/>
      <c r="H7" s="77"/>
      <c r="I7" s="184"/>
    </row>
    <row r="8" spans="1:9" ht="39" customHeight="1" x14ac:dyDescent="0.3">
      <c r="B8" s="142"/>
      <c r="C8" s="122"/>
      <c r="D8" s="68" t="s">
        <v>36</v>
      </c>
      <c r="E8" s="69"/>
      <c r="F8" s="155"/>
      <c r="G8" s="165"/>
      <c r="H8" s="77"/>
      <c r="I8" s="184"/>
    </row>
    <row r="9" spans="1:9" ht="39" customHeight="1" x14ac:dyDescent="0.3">
      <c r="B9" s="142"/>
      <c r="C9" s="122"/>
      <c r="D9" s="70" t="s">
        <v>15</v>
      </c>
      <c r="E9" s="71"/>
      <c r="F9" s="246">
        <f>SUM(F6:F8)</f>
        <v>0</v>
      </c>
      <c r="G9" s="166"/>
      <c r="H9" s="185"/>
      <c r="I9" s="186"/>
    </row>
    <row r="10" spans="1:9" ht="39" customHeight="1" x14ac:dyDescent="0.3">
      <c r="B10" s="142"/>
      <c r="C10" s="72" t="s">
        <v>26</v>
      </c>
      <c r="D10" s="135" t="s">
        <v>34</v>
      </c>
      <c r="E10" s="116"/>
      <c r="F10" s="153"/>
      <c r="G10" s="164"/>
      <c r="H10" s="115" t="s">
        <v>90</v>
      </c>
      <c r="I10" s="183"/>
    </row>
    <row r="11" spans="1:9" ht="39" customHeight="1" x14ac:dyDescent="0.3">
      <c r="B11" s="142"/>
      <c r="C11" s="133"/>
      <c r="D11" s="64" t="s">
        <v>35</v>
      </c>
      <c r="E11" s="65"/>
      <c r="F11" s="154"/>
      <c r="G11" s="165"/>
      <c r="H11" s="77"/>
      <c r="I11" s="184"/>
    </row>
    <row r="12" spans="1:9" ht="39" customHeight="1" x14ac:dyDescent="0.3">
      <c r="B12" s="142"/>
      <c r="C12" s="133"/>
      <c r="D12" s="68" t="s">
        <v>36</v>
      </c>
      <c r="E12" s="69"/>
      <c r="F12" s="155"/>
      <c r="G12" s="165"/>
      <c r="H12" s="77"/>
      <c r="I12" s="184"/>
    </row>
    <row r="13" spans="1:9" ht="39" customHeight="1" x14ac:dyDescent="0.3">
      <c r="B13" s="142"/>
      <c r="C13" s="134"/>
      <c r="D13" s="70" t="s">
        <v>15</v>
      </c>
      <c r="E13" s="71"/>
      <c r="F13" s="247">
        <f>SUM(F10:F12)</f>
        <v>0</v>
      </c>
      <c r="G13" s="166"/>
      <c r="H13" s="185"/>
      <c r="I13" s="186"/>
    </row>
    <row r="14" spans="1:9" ht="39" customHeight="1" x14ac:dyDescent="0.3">
      <c r="B14" s="143"/>
      <c r="C14" s="32" t="s">
        <v>27</v>
      </c>
      <c r="D14" s="33"/>
      <c r="E14" s="34">
        <f>IFERROR(SUMPRODUCT(--(LEFT('[1]4. 재직자 명부'!J$1:J$65536,4)=LEFT(F5,4))),0)</f>
        <v>0</v>
      </c>
      <c r="F14" s="155"/>
      <c r="G14" s="165"/>
      <c r="H14" s="187" t="s">
        <v>91</v>
      </c>
      <c r="I14" s="188"/>
    </row>
    <row r="15" spans="1:9" ht="39" customHeight="1" x14ac:dyDescent="0.3">
      <c r="B15" s="144"/>
      <c r="C15" s="136" t="s">
        <v>28</v>
      </c>
      <c r="D15" s="137"/>
      <c r="E15" s="138"/>
      <c r="F15" s="155"/>
      <c r="G15" s="166"/>
      <c r="H15" s="187" t="s">
        <v>92</v>
      </c>
      <c r="I15" s="188"/>
    </row>
    <row r="16" spans="1:9" ht="39" customHeight="1" x14ac:dyDescent="0.3">
      <c r="B16" s="121" t="s">
        <v>22</v>
      </c>
      <c r="C16" s="122"/>
      <c r="D16" s="64" t="s">
        <v>34</v>
      </c>
      <c r="E16" s="65"/>
      <c r="F16" s="153"/>
      <c r="G16" s="164"/>
      <c r="H16" s="189" t="s">
        <v>93</v>
      </c>
      <c r="I16" s="190"/>
    </row>
    <row r="17" spans="2:9" ht="39" customHeight="1" x14ac:dyDescent="0.3">
      <c r="B17" s="123"/>
      <c r="C17" s="122"/>
      <c r="D17" s="64" t="s">
        <v>35</v>
      </c>
      <c r="E17" s="65"/>
      <c r="F17" s="154"/>
      <c r="G17" s="165"/>
      <c r="H17" s="191"/>
      <c r="I17" s="192"/>
    </row>
    <row r="18" spans="2:9" ht="39" customHeight="1" x14ac:dyDescent="0.3">
      <c r="B18" s="123"/>
      <c r="C18" s="122"/>
      <c r="D18" s="68" t="s">
        <v>36</v>
      </c>
      <c r="E18" s="69"/>
      <c r="F18" s="155"/>
      <c r="G18" s="165"/>
      <c r="H18" s="191"/>
      <c r="I18" s="192"/>
    </row>
    <row r="19" spans="2:9" ht="39" customHeight="1" thickBot="1" x14ac:dyDescent="0.35">
      <c r="B19" s="124"/>
      <c r="C19" s="125"/>
      <c r="D19" s="126" t="s">
        <v>15</v>
      </c>
      <c r="E19" s="127"/>
      <c r="F19" s="248">
        <f>SUM(F16:F18)</f>
        <v>0</v>
      </c>
      <c r="G19" s="167"/>
      <c r="H19" s="193"/>
      <c r="I19" s="194"/>
    </row>
    <row r="20" spans="2:9" ht="39" customHeight="1" thickBot="1" x14ac:dyDescent="0.35">
      <c r="B20" s="35"/>
      <c r="C20" s="35"/>
      <c r="D20" s="36"/>
      <c r="E20" s="36"/>
      <c r="F20" s="37"/>
      <c r="G20" s="168"/>
      <c r="H20" s="195"/>
      <c r="I20" s="195"/>
    </row>
    <row r="21" spans="2:9" ht="39" customHeight="1" x14ac:dyDescent="0.3">
      <c r="B21" s="128" t="s">
        <v>23</v>
      </c>
      <c r="C21" s="129" t="s">
        <v>29</v>
      </c>
      <c r="D21" s="130" t="s">
        <v>37</v>
      </c>
      <c r="E21" s="131"/>
      <c r="F21" s="156"/>
      <c r="G21" s="169"/>
      <c r="H21" s="130" t="s">
        <v>94</v>
      </c>
      <c r="I21" s="196"/>
    </row>
    <row r="22" spans="2:9" ht="39" customHeight="1" x14ac:dyDescent="0.3">
      <c r="B22" s="99"/>
      <c r="C22" s="113"/>
      <c r="D22" s="132" t="s">
        <v>38</v>
      </c>
      <c r="E22" s="67"/>
      <c r="F22" s="157"/>
      <c r="G22" s="170"/>
      <c r="H22" s="132" t="s">
        <v>95</v>
      </c>
      <c r="I22" s="197"/>
    </row>
    <row r="23" spans="2:9" ht="39" customHeight="1" x14ac:dyDescent="0.3">
      <c r="B23" s="99"/>
      <c r="C23" s="113"/>
      <c r="D23" s="117" t="s">
        <v>39</v>
      </c>
      <c r="E23" s="118"/>
      <c r="F23" s="158"/>
      <c r="G23" s="170"/>
      <c r="H23" s="117" t="s">
        <v>96</v>
      </c>
      <c r="I23" s="198"/>
    </row>
    <row r="24" spans="2:9" ht="39" customHeight="1" x14ac:dyDescent="0.3">
      <c r="B24" s="99"/>
      <c r="C24" s="114"/>
      <c r="D24" s="112" t="s">
        <v>40</v>
      </c>
      <c r="E24" s="80"/>
      <c r="F24" s="249">
        <f>SUM(F21:F23)</f>
        <v>0</v>
      </c>
      <c r="G24" s="171"/>
      <c r="H24" s="199">
        <f>SUMIFS('[2]3. 재직자 명부'!H$1:H$65536,'[2]3. 재직자 명부'!G$1:G$65536,"&gt;10000000",'[2]3. 재직자 명부'!G$1:G$65536,"&gt;"&amp;LEFT(F5,4)&amp;"0000")</f>
        <v>0</v>
      </c>
      <c r="I24" s="200">
        <f>SUMIFS('[2]3. 재직자 명부'!H$1:H$65536,'[2]3. 재직자 명부'!G$1:G$65536,"&lt;10000000",'[2]3. 재직자 명부'!G$1:G$65536,""&gt;=DATE(LEFT(F5,4),1,1))</f>
        <v>0</v>
      </c>
    </row>
    <row r="25" spans="2:9" ht="39" customHeight="1" x14ac:dyDescent="0.3">
      <c r="B25" s="99"/>
      <c r="C25" s="72" t="s">
        <v>30</v>
      </c>
      <c r="D25" s="115" t="s">
        <v>41</v>
      </c>
      <c r="E25" s="116"/>
      <c r="F25" s="160"/>
      <c r="G25" s="172"/>
      <c r="H25" s="115" t="s">
        <v>97</v>
      </c>
      <c r="I25" s="183"/>
    </row>
    <row r="26" spans="2:9" ht="39" customHeight="1" x14ac:dyDescent="0.3">
      <c r="B26" s="99"/>
      <c r="C26" s="113"/>
      <c r="D26" s="117" t="s">
        <v>42</v>
      </c>
      <c r="E26" s="118"/>
      <c r="F26" s="161"/>
      <c r="G26" s="173"/>
      <c r="H26" s="185"/>
      <c r="I26" s="186"/>
    </row>
    <row r="27" spans="2:9" ht="39" customHeight="1" x14ac:dyDescent="0.3">
      <c r="B27" s="99"/>
      <c r="C27" s="114"/>
      <c r="D27" s="112" t="s">
        <v>43</v>
      </c>
      <c r="E27" s="80"/>
      <c r="F27" s="159">
        <f>F25-F26</f>
        <v>0</v>
      </c>
      <c r="G27" s="171"/>
      <c r="H27" s="201"/>
      <c r="I27" s="202"/>
    </row>
    <row r="28" spans="2:9" ht="39" customHeight="1" x14ac:dyDescent="0.3">
      <c r="B28" s="99"/>
      <c r="C28" s="72" t="s">
        <v>31</v>
      </c>
      <c r="D28" s="115" t="s">
        <v>44</v>
      </c>
      <c r="E28" s="119"/>
      <c r="F28" s="160"/>
      <c r="G28" s="172"/>
      <c r="H28" s="115" t="s">
        <v>98</v>
      </c>
      <c r="I28" s="183"/>
    </row>
    <row r="29" spans="2:9" ht="39" customHeight="1" x14ac:dyDescent="0.3">
      <c r="B29" s="99"/>
      <c r="C29" s="113"/>
      <c r="D29" s="117" t="s">
        <v>45</v>
      </c>
      <c r="E29" s="120"/>
      <c r="F29" s="161"/>
      <c r="G29" s="173"/>
      <c r="H29" s="185"/>
      <c r="I29" s="186"/>
    </row>
    <row r="30" spans="2:9" ht="39" customHeight="1" x14ac:dyDescent="0.3">
      <c r="B30" s="100"/>
      <c r="C30" s="114"/>
      <c r="D30" s="112" t="s">
        <v>46</v>
      </c>
      <c r="E30" s="80"/>
      <c r="F30" s="249">
        <f>F28-F29</f>
        <v>0</v>
      </c>
      <c r="G30" s="173"/>
      <c r="H30" s="203"/>
      <c r="I30" s="204"/>
    </row>
    <row r="31" spans="2:9" ht="39" customHeight="1" thickBot="1" x14ac:dyDescent="0.35">
      <c r="B31" s="109" t="s">
        <v>24</v>
      </c>
      <c r="C31" s="110"/>
      <c r="D31" s="110"/>
      <c r="E31" s="111"/>
      <c r="F31" s="250">
        <f>F24-F27-F30</f>
        <v>0</v>
      </c>
      <c r="G31" s="174"/>
      <c r="H31" s="205"/>
      <c r="I31" s="206"/>
    </row>
    <row r="32" spans="2:9" ht="24" customHeight="1" x14ac:dyDescent="0.3"/>
    <row r="33" ht="24" customHeight="1" x14ac:dyDescent="0.3"/>
  </sheetData>
  <mergeCells count="48">
    <mergeCell ref="H21:I21"/>
    <mergeCell ref="H22:I22"/>
    <mergeCell ref="H23:I23"/>
    <mergeCell ref="H25:I26"/>
    <mergeCell ref="H28:I29"/>
    <mergeCell ref="B31:E31"/>
    <mergeCell ref="D4:F4"/>
    <mergeCell ref="G4:G5"/>
    <mergeCell ref="H4:I4"/>
    <mergeCell ref="H5:I5"/>
    <mergeCell ref="H6:I9"/>
    <mergeCell ref="H10:I13"/>
    <mergeCell ref="H14:I14"/>
    <mergeCell ref="H15:I15"/>
    <mergeCell ref="H16:I19"/>
    <mergeCell ref="D24:E24"/>
    <mergeCell ref="C25:C27"/>
    <mergeCell ref="D25:E25"/>
    <mergeCell ref="D26:E26"/>
    <mergeCell ref="D27:E27"/>
    <mergeCell ref="C28:C30"/>
    <mergeCell ref="D28:E28"/>
    <mergeCell ref="D29:E29"/>
    <mergeCell ref="D30:E30"/>
    <mergeCell ref="B16:C19"/>
    <mergeCell ref="D16:E16"/>
    <mergeCell ref="D17:E17"/>
    <mergeCell ref="D18:E18"/>
    <mergeCell ref="D19:E19"/>
    <mergeCell ref="B21:B30"/>
    <mergeCell ref="C21:C24"/>
    <mergeCell ref="D21:E21"/>
    <mergeCell ref="D22:E22"/>
    <mergeCell ref="D23:E23"/>
    <mergeCell ref="C10:C13"/>
    <mergeCell ref="D10:E10"/>
    <mergeCell ref="D11:E11"/>
    <mergeCell ref="D12:E12"/>
    <mergeCell ref="D13:E13"/>
    <mergeCell ref="C15:E15"/>
    <mergeCell ref="B4:C5"/>
    <mergeCell ref="D5:E5"/>
    <mergeCell ref="B6:B15"/>
    <mergeCell ref="C6:C9"/>
    <mergeCell ref="D6:E6"/>
    <mergeCell ref="D7:E7"/>
    <mergeCell ref="D8:E8"/>
    <mergeCell ref="D9:E9"/>
  </mergeCells>
  <phoneticPr fontId="1" type="noConversion"/>
  <conditionalFormatting sqref="G6:G19">
    <cfRule type="cellIs" dxfId="1" priority="2" stopIfTrue="1" operator="equal">
      <formula>FALSE</formula>
    </cfRule>
  </conditionalFormatting>
  <conditionalFormatting sqref="G21:G31">
    <cfRule type="cellIs" dxfId="0" priority="1" stopIfTrue="1" operator="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사외적립자산</vt:lpstr>
      <vt:lpstr>기타 장기</vt:lpstr>
      <vt:lpstr>명부확인용요약표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기훈 이</cp:lastModifiedBy>
  <dcterms:created xsi:type="dcterms:W3CDTF">2026-07-13T01:45:12Z</dcterms:created>
  <dcterms:modified xsi:type="dcterms:W3CDTF">2026-07-14T14:14:34Z</dcterms:modified>
</cp:coreProperties>
</file>